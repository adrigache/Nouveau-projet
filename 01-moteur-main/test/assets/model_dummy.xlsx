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3"/>
  </bookViews>
  <sheets>
    <sheet name="Disclaimer" sheetId="1" state="hidden" r:id="rId3"/>
    <sheet name="Dashboard" sheetId="2" state="visible" r:id="rId4"/>
    <sheet name="ass_Model" sheetId="3" state="visible" r:id="rId5"/>
    <sheet name="ass_Vehicle" sheetId="4" state="visible" r:id="rId6"/>
    <sheet name="ass_Market" sheetId="5" state="visible" r:id="rId7"/>
    <sheet name="ass_Asset" sheetId="6" state="visible" r:id="rId8"/>
  </sheets>
  <definedNames>
    <definedName function="false" hidden="false" name="Accuracy_Check" vbProcedure="false">ass_Model!$M$108</definedName>
    <definedName function="false" hidden="false" name="All_phase_number" vbProcedure="false">ass_Model!$M$122</definedName>
    <definedName function="false" hidden="false" name="Asset_Activation" vbProcedure="false">#REF!</definedName>
    <definedName function="false" hidden="false" name="Calage" vbProcedure="false">#REF!</definedName>
    <definedName function="false" hidden="false" name="Calage_Check" vbProcedure="false">ass_Model!$M$107</definedName>
    <definedName function="false" hidden="false" name="Calage_Dev_fees" vbProcedure="false">#REF!</definedName>
    <definedName function="false" hidden="false" name="Calage_Dev_fees_copy" vbProcedure="false">#REF!</definedName>
    <definedName function="false" hidden="false" name="Calage_MDRA_sweep" vbProcedure="false">sizing #REF!</definedName>
    <definedName function="false" hidden="false" name="Calage_sweep" vbProcedure="false">#REF!</definedName>
    <definedName function="false" hidden="false" name="Calage_TopUp" vbProcedure="false">#REF!</definedName>
    <definedName function="false" hidden="false" name="Calage_TopUp_all_phase_and_last_phase" vbProcedure="false">#REF!</definedName>
    <definedName function="false" hidden="false" name="Cash_sweep_activation" vbProcedure="false">Dashboard!$G$143</definedName>
    <definedName function="false" hidden="false" name="Clear_Paste_1" vbProcedure="false">#REF!</definedName>
    <definedName function="false" hidden="false" name="Clear_Paste_2" vbProcedure="false">#REF!</definedName>
    <definedName function="false" hidden="false" name="Construction_End" vbProcedure="false">#REF!</definedName>
    <definedName function="false" hidden="false" name="Construction_start" vbProcedure="false">#REF!</definedName>
    <definedName function="false" hidden="false" name="Contract_End" vbProcedure="false">#REF!</definedName>
    <definedName function="false" hidden="false" name="Contract_Start" vbProcedure="false">#REF!</definedName>
    <definedName function="false" hidden="false" name="Copy_All" vbProcedure="false">#REF!</definedName>
    <definedName function="false" hidden="false" name="Copy_TopUp" vbProcedure="false">#REF!</definedName>
    <definedName function="false" hidden="false" name="Duplication_sheets" vbProcedure="false">#REF!</definedName>
    <definedName function="false" hidden="false" name="Global_consolidation_sizing_activation" vbProcedure="false">#REF!</definedName>
    <definedName function="false" hidden="false" name="Master_check" vbProcedure="false">#REF!</definedName>
    <definedName function="false" hidden="false" name="Max_Iteration" vbProcedure="false">ass_Model!$M$109</definedName>
    <definedName function="false" hidden="false" name="MDRA_Copy" vbProcedure="false">#REF!</definedName>
    <definedName function="false" hidden="false" name="MDRA_Paste_Start" vbProcedure="false">#REF!</definedName>
    <definedName function="false" hidden="false" name="MDRA_Sizing" vbProcedure="false">#REF!</definedName>
    <definedName function="false" hidden="false" name="MDRA_sweep_activation" vbProcedure="false">Dashboard!$G$138</definedName>
    <definedName function="false" hidden="false" name="MDRA_sweep_copy" vbProcedure="false">sizing #REF!</definedName>
    <definedName function="false" hidden="false" name="MDRA_sweep_paste_start" vbProcedure="false">sizing #REF!</definedName>
    <definedName function="false" hidden="false" name="MDRA_sweep_prorata_activation" vbProcedure="false">Dashboard!$G$139</definedName>
    <definedName function="false" hidden="false" name="Model_Start_Date" vbProcedure="false">ass_Model!$M$9</definedName>
    <definedName function="false" hidden="false" name="name_Asset" vbProcedure="false">#REF!</definedName>
    <definedName function="false" hidden="false" name="Name_Vehicle_Column" vbProcedure="false">#REF!</definedName>
    <definedName function="false" hidden="false" name="Name_Vehicle_Row" vbProcedure="false">#REF!</definedName>
    <definedName function="false" hidden="false" name="nb_rows_copy" vbProcedure="false">#REF!</definedName>
    <definedName function="false" hidden="false" name="Paste_Start_1" vbProcedure="false">#REF!</definedName>
    <definedName function="false" hidden="false" name="Paste_Start_2" vbProcedure="false">#REF!</definedName>
    <definedName function="false" hidden="false" name="Paste_Start_3" vbProcedure="false">#REF!</definedName>
    <definedName function="false" hidden="false" name="Paste_Start_4" vbProcedure="false">#REF!</definedName>
    <definedName function="false" hidden="false" name="Paste_Start_5" vbProcedure="false">#REF!</definedName>
    <definedName function="false" hidden="false" name="Paste_Start_6" vbProcedure="false">#REF!</definedName>
    <definedName function="false" hidden="false" name="Paste_Start_7" vbProcedure="false">#REF!</definedName>
    <definedName function="false" hidden="false" name="Paste_Start_8" vbProcedure="false">#REF!</definedName>
    <definedName function="false" hidden="false" name="Paste_Start_TopUp" vbProcedure="false">#REF!</definedName>
    <definedName function="false" hidden="false" name="Paste_TopUp" vbProcedure="false">#REF!</definedName>
    <definedName function="false" hidden="false" name="Perimeter_Asset" vbProcedure="false">#REF!</definedName>
    <definedName function="false" hidden="false" name="Perimeter_Senior_Vehicle" vbProcedure="false">#REF!</definedName>
    <definedName function="false" hidden="false" name="Perimeter_Vehicle" vbProcedure="false">#REF!</definedName>
    <definedName function="false" hidden="false" name="Phase" vbProcedure="false">ass_Model!$M$113</definedName>
    <definedName function="false" hidden="false" name="Phase_Asset" vbProcedure="false">#REF!</definedName>
    <definedName function="false" hidden="false" name="Phase_TopUp" vbProcedure="false">#REF!</definedName>
    <definedName function="false" hidden="false" name="ref_Vehicle" vbProcedure="false">#REF!</definedName>
    <definedName function="false" hidden="false" name="scenario" vbProcedure="false">Dashboard!$G$140</definedName>
    <definedName function="false" hidden="false" name="Senior_facility_activation" vbProcedure="false">#REF!</definedName>
    <definedName function="false" hidden="false" name="sensi" vbProcedure="false">Dashboard!$G$137</definedName>
    <definedName function="false" hidden="false" name="Sizing_activation" vbProcedure="false">#REF!</definedName>
    <definedName function="false" hidden="false" name="Sweep_copy" vbProcedure="false">#REF!</definedName>
    <definedName function="false" hidden="false" name="Sweep_paste_start" vbProcedure="false">#REF!</definedName>
    <definedName function="false" hidden="false" name="Target_dev_fees_sizing" vbProcedure="false">#REF!</definedName>
    <definedName function="false" hidden="false" name="TopUp_adjustment" vbProcedure="false">#REF!</definedName>
    <definedName function="false" hidden="false" name="Vehicle_Asset" vbProcedure="false">#REF!</definedName>
    <definedName function="false" hidden="true" name="_xleta.AND" vbProcedure="false">#NAME?</definedName>
    <definedName function="false" hidden="true" name="_xleta.AVERAGEIF" vbProcedure="false">#NAME?</definedName>
    <definedName function="false" hidden="true" name="_xleta.CELL" vbProcedure="false">#NAME?</definedName>
    <definedName function="false" hidden="true" name="_xleta.COLUMN" vbProcedure="false">#NAME?</definedName>
    <definedName function="false" hidden="true" name="_xleta.EDATE" vbProcedure="false">#NAME?</definedName>
    <definedName function="false" hidden="true" name="_xleta.FILTER" vbProcedure="false">#NAME?</definedName>
    <definedName function="false" hidden="true" name="_xleta.IF" vbProcedure="false">#NAME?</definedName>
    <definedName function="false" hidden="true" name="_xleta.IFERROR" vbProcedure="false">#NAME?</definedName>
    <definedName function="false" hidden="true" name="_xleta.INDEX" vbProcedure="false">#NAME?</definedName>
    <definedName function="false" hidden="true" name="_xleta.INT" vbProcedure="false">#NAME?</definedName>
    <definedName function="false" hidden="true" name="_xleta.MAX" vbProcedure="false">#NAME?</definedName>
    <definedName function="false" hidden="true" name="_xleta.MIN" vbProcedure="false">#NAME?</definedName>
    <definedName function="false" hidden="true" name="_xleta.MINIFS" vbProcedure="false">#NAME?</definedName>
    <definedName function="false" hidden="true" name="_xleta.MOD" vbProcedure="false">#NAME?</definedName>
    <definedName function="false" hidden="true" name="_xleta.N" vbProcedure="false">#NAME?</definedName>
    <definedName function="false" hidden="true" name="_xleta.OR" vbProcedure="false">#NAME?</definedName>
    <definedName function="false" hidden="true" name="_xleta.ROUND" vbProcedure="false">#NAME?</definedName>
    <definedName function="false" hidden="true" name="_xleta.SUM" vbProcedure="false">#NAME?</definedName>
    <definedName function="false" hidden="true" name="_xleta.SUMPRODUCT" vbProcedure="false">#NAME?</definedName>
    <definedName function="false" hidden="true" name="_xleta.T" vbProcedure="false">#NAME?</definedName>
    <definedName function="false" hidden="true" name="_xlfn.ANCHORARRAY" vbProcedure="false">#NAME?</definedName>
    <definedName function="false" hidden="true" name="_xlfn.AVERAGEIF" vbProcedure="false">#NAME?</definedName>
    <definedName function="false" hidden="true" name="_xlfn.AVERAGEIFS" vbProcedure="false">#NAME?</definedName>
    <definedName function="false" hidden="true" name="_xlfn.COUNTIFS" vbProcedure="false">#NAME?</definedName>
    <definedName function="false" hidden="true" name="_xlfn.DAYS" vbProcedure="false">#NAME?</definedName>
    <definedName function="false" hidden="true" name="_xlfn.FORMULATEXT" vbProcedure="false">#NAME?</definedName>
    <definedName function="false" hidden="true" name="_xlfn.IFERROR" vbProcedure="false">#NAME?</definedName>
    <definedName function="false" hidden="true" name="_xlfn.LET" vbProcedure="false">#NAME?</definedName>
    <definedName function="false" hidden="true" name="_xlfn.MAXIFS" vbProcedure="false">#NAME?</definedName>
    <definedName function="false" hidden="true" name="_xlfn.MINIFS" vbProcedure="false">#NAME?</definedName>
    <definedName function="false" hidden="true" name="_xlfn.SINGLE" vbProcedure="false">#NAME?</definedName>
    <definedName function="false" hidden="true" name="_xlfn.SUMIFS" vbProcedure="false">#NAME?</definedName>
    <definedName function="false" hidden="true" name="_xlfn.TRANSLATE" vbProcedure="false">#NAME?</definedName>
    <definedName function="false" hidden="true" name="_xlfn.XLOOKUP" vbProcedure="false">#NAME?</definedName>
    <definedName function="false" hidden="true" name="_xlfn._FV" vbProcedure="false">#NAME?</definedName>
    <definedName function="false" hidden="true" name="_xlfn._xlws.FILTER" vbProcedure="false">#NAME?</definedName>
    <definedName function="false" hidden="true" name="_xlfn._xlws.SORT" vbProcedure="false">#NAME?</definedName>
    <definedName function="false" hidden="true" name="_xlpm.a" vbProcedure="false">#NAME?</definedName>
    <definedName function="false" hidden="true" name="_xlpm.C" vbProcedure="false">#NAME?</definedName>
    <definedName function="false" hidden="true" name="_xlpm.ca" vbProcedure="false">#NAME?</definedName>
    <definedName function="false" hidden="true" name="_xlpm.cal" vbProcedure="false">#NAME?</definedName>
    <definedName function="false" hidden="true" name="_xlpm.calc" vbProcedure="false">#NAME?</definedName>
    <definedName function="false" hidden="true" name="_xlpm.calcu" vbProcedure="false">#NAME?</definedName>
    <definedName function="false" hidden="true" name="_xlpm.calcul" vbProcedure="false">#NAME?</definedName>
    <definedName function="false" hidden="true" name="_xlpm.cellule" vbProcedure="false">#NAME?</definedName>
    <definedName function="false" hidden="true" name="_xlpm.cellule1" vbProcedure="false">#NAME?</definedName>
    <definedName function="false" hidden="true" name="_xlpm.cellule2" vbProcedure="false">#NAME?</definedName>
    <definedName function="false" hidden="true" name="_xlpm.check" vbProcedure="false">#NAME?</definedName>
    <definedName function="false" hidden="true" name="_xlpm.check_allphase" vbProcedure="false">#NAME?</definedName>
    <definedName function="false" hidden="true" name="_xlpm.check_all_phase" vbProcedure="false">#NAME?</definedName>
    <definedName function="false" hidden="true" name="_xlpm.check_alphase" vbProcedure="false">#NAME?</definedName>
    <definedName function="false" hidden="true" name="_xlpm.check_aphase" vbProcedure="false">#NAME?</definedName>
    <definedName function="false" hidden="true" name="_xlpm.check_phase" vbProcedure="false">#NAME?</definedName>
    <definedName function="false" hidden="true" name="_xlpm.CS" vbProcedure="false">#NAME?</definedName>
    <definedName function="false" hidden="true" name="_xlpm.date_debut" vbProcedure="false">#NAME?</definedName>
    <definedName function="false" hidden="true" name="_xlpm.DA_duration" vbProcedure="false">#NAME?</definedName>
    <definedName function="false" hidden="true" name="_xlpm.DA_period" vbProcedure="false">#NAME?</definedName>
    <definedName function="false" hidden="true" name="_xlpm.end_date" vbProcedure="false">#NAME?</definedName>
    <definedName function="false" hidden="true" name="_xlpm.end_period_date" vbProcedure="false">#NAME?</definedName>
    <definedName function="false" hidden="true" name="_xlpm.First_In" vbProcedure="false">#NAME?</definedName>
    <definedName function="false" hidden="true" name="_xlpm.Opening_balance" vbProcedure="false">#NAME?</definedName>
    <definedName function="false" hidden="true" name="_xlpm.production_threshold" vbProcedure="false">#NAME?</definedName>
    <definedName function="false" hidden="true" name="_xlpm.production_threshold_activation" vbProcedure="false">#NAME?</definedName>
    <definedName function="false" hidden="true" name="_xlpm.Proportion_of_taxable_income" vbProcedure="false">#NAME?</definedName>
    <definedName function="false" hidden="true" name="_xlpm.reference_tarif" vbProcedure="false">#NAME?</definedName>
    <definedName function="false" hidden="true" name="_xlpm.ref_index" vbProcedure="false">#NAME?</definedName>
    <definedName function="false" hidden="true" name="_xlpm.start_date" vbProcedure="false">#NAME?</definedName>
    <definedName function="false" hidden="true" name="_xlpm.start_period_date" vbProcedure="false">#NAME?</definedName>
    <definedName function="false" hidden="true" name="_xlpm.taxable_income" vbProcedure="false">#NAME?</definedName>
    <definedName function="false" hidden="true" name="_xlpm.threshold" vbProcedure="false">#NAME?</definedName>
    <definedName function="false" hidden="true" name="_xlpm.variable" vbProcedure="false">#NAME?</definedName>
    <definedName function="false" hidden="true" name="_xlpm.x" vbProcedure="false">#NAME?</definedName>
    <definedName function="false" hidden="true" name="_xlpm.y" vbProcedure="false">#NAME?</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<sst xmlns="http://schemas.openxmlformats.org/spreadsheetml/2006/main" count="3744" uniqueCount="716">
  <si>
    <t xml:space="preserve">This excel document (“Financial Model”) has been prepared by Monte Cristo Advisory for [°]  in order to compute and present cash flow projections of its solar projects in France, [°]. This Financial Model has not been audited and no representation, warranty, or undertaking (express or implied) is made and no responsibility is taken or accepted by Monte Cristo Advisory as to the adequacy, accuracy, completeness or reasonableness of the Financial Model and Monte Cristo Advisory excludes all liability thereof. In particular, no responsibility is taken or accepted by Monte Cristo Advisory and all liability is excluded by Monte Cristo Advisory for the calculations and the results comprised therein and the assumptions upon which such computations are based. In addition, the recipient receives and uses this Financial Model entirely at its own risk and, in the absence of express written consent by Monte Cristo Advisory, no responsibility is taken or accepted by Monte Cristo Advisory for any losses which may result therefrom, including whether as a direct or indirect consequence of a computer virus or otherwise. The recipient of this financial model should make (and will be deemed to have made) its own review and due diligence in respect of the Financial Model. 
In the absence of express written consent, this model remains the property of Monte Cristo Advisory.</t>
  </si>
  <si>
    <t xml:space="preserve">MONTE CRISTO ADVISORY</t>
  </si>
  <si>
    <t xml:space="preserve">Calage</t>
  </si>
  <si>
    <t xml:space="preserve">Check Vehicle</t>
  </si>
  <si>
    <t xml:space="preserve">Master check</t>
  </si>
  <si>
    <t xml:space="preserve">DASHBOARD</t>
  </si>
  <si>
    <t xml:space="preserve">USES &amp; SOURCES @ COD</t>
  </si>
  <si>
    <t xml:space="preserve">PERIMETER</t>
  </si>
  <si>
    <t xml:space="preserve">Uses</t>
  </si>
  <si>
    <t xml:space="preserve">Sources</t>
  </si>
  <si>
    <t xml:space="preserve">Capacity, of which :</t>
  </si>
  <si>
    <t xml:space="preserve">kWc</t>
  </si>
  <si>
    <t xml:space="preserve">k€</t>
  </si>
  <si>
    <t xml:space="preserve">Share capital</t>
  </si>
  <si>
    <t xml:space="preserve">per detention</t>
  </si>
  <si>
    <t xml:space="preserve">SHL from Holdco</t>
  </si>
  <si>
    <t xml:space="preserve">Crowdfunding debt</t>
  </si>
  <si>
    <t xml:space="preserve">Construction costs</t>
  </si>
  <si>
    <t xml:space="preserve">Senior facility</t>
  </si>
  <si>
    <t xml:space="preserve">CAPEX per kWc</t>
  </si>
  <si>
    <t xml:space="preserve">€ / Wc</t>
  </si>
  <si>
    <t xml:space="preserve">Pre-hedge gain</t>
  </si>
  <si>
    <t xml:space="preserve">Annual production</t>
  </si>
  <si>
    <t xml:space="preserve">MWh / year</t>
  </si>
  <si>
    <t xml:space="preserve">Last COD</t>
  </si>
  <si>
    <t xml:space="preserve">date</t>
  </si>
  <si>
    <t xml:space="preserve">Average P90</t>
  </si>
  <si>
    <t xml:space="preserve">hours</t>
  </si>
  <si>
    <t xml:space="preserve">Average P50</t>
  </si>
  <si>
    <t xml:space="preserve">Average Tariff</t>
  </si>
  <si>
    <t xml:space="preserve">€/MWh</t>
  </si>
  <si>
    <t xml:space="preserve">Vehicle(s) in perimeter, of which :</t>
  </si>
  <si>
    <t xml:space="preserve">#</t>
  </si>
  <si>
    <t xml:space="preserve">%</t>
  </si>
  <si>
    <t xml:space="preserve">Asset(s) in vehicle(s)</t>
  </si>
  <si>
    <t xml:space="preserve">Asset(s) in senior facility permiter</t>
  </si>
  <si>
    <t xml:space="preserve">FACILITIES</t>
  </si>
  <si>
    <t xml:space="preserve">RATIOS - LENDERS</t>
  </si>
  <si>
    <t xml:space="preserve">Senior facility, of which</t>
  </si>
  <si>
    <t xml:space="preserve">Phase 1</t>
  </si>
  <si>
    <t xml:space="preserve">Gearing</t>
  </si>
  <si>
    <t xml:space="preserve">Phase 2</t>
  </si>
  <si>
    <t xml:space="preserve">Min HDSCR 12 months</t>
  </si>
  <si>
    <t xml:space="preserve">ratio</t>
  </si>
  <si>
    <t xml:space="preserve">Phase 3</t>
  </si>
  <si>
    <t xml:space="preserve">Avg HDSCR 12 months</t>
  </si>
  <si>
    <t xml:space="preserve">Phase 4</t>
  </si>
  <si>
    <t xml:space="preserve">LLCR</t>
  </si>
  <si>
    <t xml:space="preserve">Phase 5</t>
  </si>
  <si>
    <t xml:space="preserve">PLCR</t>
  </si>
  <si>
    <t xml:space="preserve">Phase 6</t>
  </si>
  <si>
    <t xml:space="preserve">Phase 7</t>
  </si>
  <si>
    <t xml:space="preserve">Phase 8</t>
  </si>
  <si>
    <t xml:space="preserve">MERCHANT</t>
  </si>
  <si>
    <t xml:space="preserve">EBL</t>
  </si>
  <si>
    <t xml:space="preserve">Merchant debt</t>
  </si>
  <si>
    <t xml:space="preserve">DSRF</t>
  </si>
  <si>
    <t xml:space="preserve">Merchant debt / Senior facility</t>
  </si>
  <si>
    <t xml:space="preserve">CRTVA</t>
  </si>
  <si>
    <t xml:space="preserve">MDRA</t>
  </si>
  <si>
    <t xml:space="preserve">MDRA / Senior facility</t>
  </si>
  <si>
    <t xml:space="preserve">Consolidation date</t>
  </si>
  <si>
    <t xml:space="preserve">Part of merchant debt not covered by automatic MDRA &amp; Cash sweep</t>
  </si>
  <si>
    <t xml:space="preserve">Senior facility repayment date - base case</t>
  </si>
  <si>
    <t xml:space="preserve">MDRA funding start</t>
  </si>
  <si>
    <t xml:space="preserve">Duration</t>
  </si>
  <si>
    <t xml:space="preserve">years</t>
  </si>
  <si>
    <t xml:space="preserve">MDRA last funding date</t>
  </si>
  <si>
    <t xml:space="preserve">Date Cible de Provisionnement </t>
  </si>
  <si>
    <t xml:space="preserve">Cash sweep amount</t>
  </si>
  <si>
    <t xml:space="preserve">RATIOS - SPONSOR</t>
  </si>
  <si>
    <t xml:space="preserve">Cash trap all perimeter</t>
  </si>
  <si>
    <t xml:space="preserve">NPV per Wc</t>
  </si>
  <si>
    <t xml:space="preserve">€/Wc</t>
  </si>
  <si>
    <t xml:space="preserve">NPV sponsor, per detention @ 2025</t>
  </si>
  <si>
    <t xml:space="preserve">CHARTS</t>
  </si>
  <si>
    <t xml:space="preserve">SENSITIVES</t>
  </si>
  <si>
    <t xml:space="preserve">Check</t>
  </si>
  <si>
    <t xml:space="preserve">DASHBOARD_SENSITIVITY</t>
  </si>
  <si>
    <t xml:space="preserve">Sensitives mode</t>
  </si>
  <si>
    <t xml:space="preserve">list</t>
  </si>
  <si>
    <t xml:space="preserve">Scenario</t>
  </si>
  <si>
    <t xml:space="preserve">Inflation</t>
  </si>
  <si>
    <t xml:space="preserve">Yield</t>
  </si>
  <si>
    <t xml:space="preserve">Availability</t>
  </si>
  <si>
    <t xml:space="preserve">Degradation</t>
  </si>
  <si>
    <t xml:space="preserve">OPEX</t>
  </si>
  <si>
    <t xml:space="preserve">[ + ]</t>
  </si>
  <si>
    <t xml:space="preserve">Scenario market price</t>
  </si>
  <si>
    <t xml:space="preserve">Market price (excl. 0 €/MWh)</t>
  </si>
  <si>
    <t xml:space="preserve">EURIBOR</t>
  </si>
  <si>
    <t xml:space="preserve">MDRA sweep activation</t>
  </si>
  <si>
    <t xml:space="preserve">MDRA sweep prorata activation</t>
  </si>
  <si>
    <t xml:space="preserve">MDRA liberation date (last fundate date if empty)</t>
  </si>
  <si>
    <t xml:space="preserve">Asset life in lender scenario</t>
  </si>
  <si>
    <t xml:space="preserve">Asset life of X% portfolio activation</t>
  </si>
  <si>
    <t xml:space="preserve">Asset life of X% portfolio</t>
  </si>
  <si>
    <t xml:space="preserve">Asset desactivation @CoD</t>
  </si>
  <si>
    <t xml:space="preserve">DSCR Min</t>
  </si>
  <si>
    <t xml:space="preserve">DSCR Avg</t>
  </si>
  <si>
    <t xml:space="preserve">Shortfall MDRA</t>
  </si>
  <si>
    <t xml:space="preserve">Shortfall senior facility</t>
  </si>
  <si>
    <t xml:space="preserve">DASHBOARD_SWEEP_ACTIVATION</t>
  </si>
  <si>
    <t xml:space="preserve">+/- %</t>
  </si>
  <si>
    <t xml:space="preserve">Variation %</t>
  </si>
  <si>
    <t xml:space="preserve">scenario</t>
  </si>
  <si>
    <t xml:space="preserve">€ / MWh</t>
  </si>
  <si>
    <t xml:space="preserve">1/0</t>
  </si>
  <si>
    <t xml:space="preserve">months</t>
  </si>
  <si>
    <t xml:space="preserve">VRAI/FAUX</t>
  </si>
  <si>
    <t xml:space="preserve">DASHBOARD_SWEEP_PRORATA_ACTIVATION</t>
  </si>
  <si>
    <t xml:space="preserve">DASHBOARD_SCENARIO</t>
  </si>
  <si>
    <t xml:space="preserve">[ + ] </t>
  </si>
  <si>
    <t xml:space="preserve">DASHBOARD_SCENARIO_LENDER</t>
  </si>
  <si>
    <t xml:space="preserve">Lender scenario</t>
  </si>
  <si>
    <t xml:space="preserve">Calage MDRA sweep sizing</t>
  </si>
  <si>
    <t xml:space="preserve">DASHBOARD_SCENARIO_SPONSOR</t>
  </si>
  <si>
    <t xml:space="preserve">Sponsor scenario</t>
  </si>
  <si>
    <t xml:space="preserve">DASHBOARD_CASHSWEEP</t>
  </si>
  <si>
    <t xml:space="preserve">Cash sweep</t>
  </si>
  <si>
    <t xml:space="preserve">DASHBOARD_CASHSWEEP_ON</t>
  </si>
  <si>
    <t xml:space="preserve">Cash sweep on</t>
  </si>
  <si>
    <t xml:space="preserve">DASHBOARD_CASHSWEEP_OFF</t>
  </si>
  <si>
    <t xml:space="preserve">Cash sweep off</t>
  </si>
  <si>
    <t xml:space="preserve">STEP PLAN</t>
  </si>
  <si>
    <t xml:space="preserve">Sizing tranche par tranche</t>
  </si>
  <si>
    <t xml:space="preserve">Sizing top up</t>
  </si>
  <si>
    <t xml:space="preserve">Sizing cash sweep</t>
  </si>
  <si>
    <t xml:space="preserve">Sizing MDRA</t>
  </si>
  <si>
    <t xml:space="preserve">TIMELINE</t>
  </si>
  <si>
    <t xml:space="preserve">MODEL TIMELINE</t>
  </si>
  <si>
    <t xml:space="preserve">MODEL_TSTART</t>
  </si>
  <si>
    <t xml:space="preserve">Start</t>
  </si>
  <si>
    <t xml:space="preserve">Model periodicity</t>
  </si>
  <si>
    <t xml:space="preserve">month</t>
  </si>
  <si>
    <t xml:space="preserve">MODEL_TEND</t>
  </si>
  <si>
    <t xml:space="preserve">End</t>
  </si>
  <si>
    <t xml:space="preserve">MODEL_INFLATION_START</t>
  </si>
  <si>
    <t xml:space="preserve">Inflation start</t>
  </si>
  <si>
    <t xml:space="preserve">year</t>
  </si>
  <si>
    <t xml:space="preserve">TAXES</t>
  </si>
  <si>
    <t xml:space="preserve">VAT</t>
  </si>
  <si>
    <t xml:space="preserve">Rate</t>
  </si>
  <si>
    <t xml:space="preserve">CVAE</t>
  </si>
  <si>
    <t xml:space="preserve">Added value thresholds</t>
  </si>
  <si>
    <t xml:space="preserve">Turnover threshold value</t>
  </si>
  <si>
    <t xml:space="preserve">Percentage of turnover if below threshold</t>
  </si>
  <si>
    <t xml:space="preserve">Percentage of turnover if above threshold</t>
  </si>
  <si>
    <t xml:space="preserve">Year</t>
  </si>
  <si>
    <t xml:space="preserve">Turnover thresholds</t>
  </si>
  <si>
    <t xml:space="preserve">Turnover threshold 1</t>
  </si>
  <si>
    <t xml:space="preserve">Rate threshold 1</t>
  </si>
  <si>
    <t xml:space="preserve">Turnover threshold 2</t>
  </si>
  <si>
    <t xml:space="preserve">Added value coefficient de correction 2</t>
  </si>
  <si>
    <t xml:space="preserve">Added value to divide turnover</t>
  </si>
  <si>
    <t xml:space="preserve">Turnover threshold 3</t>
  </si>
  <si>
    <t xml:space="preserve">Rate threshold 3</t>
  </si>
  <si>
    <t xml:space="preserve">Added value coefficient de correction 3</t>
  </si>
  <si>
    <t xml:space="preserve">Turnover threshold 4</t>
  </si>
  <si>
    <t xml:space="preserve">Rate threshold 4</t>
  </si>
  <si>
    <t xml:space="preserve">Added value coefficient de correction 4</t>
  </si>
  <si>
    <t xml:space="preserve">Turnover threshold 5</t>
  </si>
  <si>
    <t xml:space="preserve">Rate threshold 5</t>
  </si>
  <si>
    <t xml:space="preserve">Sponsor CVAE application</t>
  </si>
  <si>
    <t xml:space="preserve">VRAI / FAUX</t>
  </si>
  <si>
    <t xml:space="preserve">Sponsor CVAE rate</t>
  </si>
  <si>
    <t xml:space="preserve">Additional taxes and fees</t>
  </si>
  <si>
    <t xml:space="preserve">Tax for chamber of commerce and industry (CCI)</t>
  </si>
  <si>
    <t xml:space="preserve">Tax management fees</t>
  </si>
  <si>
    <t xml:space="preserve">CORPORATE INCOME TAX</t>
  </si>
  <si>
    <t xml:space="preserve">CIT rate</t>
  </si>
  <si>
    <t xml:space="preserve">Tax loss carry forward limits</t>
  </si>
  <si>
    <t xml:space="preserve">Threshold for full utilisation of losses</t>
  </si>
  <si>
    <t xml:space="preserve">Proportion of taxable income</t>
  </si>
  <si>
    <t xml:space="preserve">Related party loan ("RPL") interests deductibility</t>
  </si>
  <si>
    <t xml:space="preserve">Part of RPL interests subject to deductibility</t>
  </si>
  <si>
    <t xml:space="preserve">Part of dividend subject to deductibility</t>
  </si>
  <si>
    <t xml:space="preserve">Minimum duration of shares' detention for deductibility on disposals</t>
  </si>
  <si>
    <t xml:space="preserve">Part of gain on disposal subject to CIT</t>
  </si>
  <si>
    <t xml:space="preserve">Financing expenses deductibility</t>
  </si>
  <si>
    <t xml:space="preserve">Intragroup debt to equity ratio for reduced thresholds</t>
  </si>
  <si>
    <t xml:space="preserve">Maximum interest expense for full deductibility if intragroup debt is below threshold</t>
  </si>
  <si>
    <t xml:space="preserve">Maximum interest expense as a percentage of EBITDA for full deductibility if intragroup debt is below threshold</t>
  </si>
  <si>
    <t xml:space="preserve">Maximum interest expense for full deductibility if intragroup debt is above threshold</t>
  </si>
  <si>
    <t xml:space="preserve">Maximum interest expense as a percentage of EBITDA for full deductibility if intragroup debt is above threshold</t>
  </si>
  <si>
    <t xml:space="preserve">Percentage of disallowed financing charges to be carried forward if under capitalised</t>
  </si>
  <si>
    <t xml:space="preserve">Legal limit of SHL interest deductibility</t>
  </si>
  <si>
    <t xml:space="preserve">Rate Threshold</t>
  </si>
  <si>
    <t xml:space="preserve">LEGAL RESERVE</t>
  </si>
  <si>
    <t xml:space="preserve">Target balance</t>
  </si>
  <si>
    <t xml:space="preserve">Net income allocation</t>
  </si>
  <si>
    <t xml:space="preserve">CIT COTISATION</t>
  </si>
  <si>
    <t xml:space="preserve">CIT</t>
  </si>
  <si>
    <t xml:space="preserve">CA Threshold</t>
  </si>
  <si>
    <t xml:space="preserve">Taxable base reduction</t>
  </si>
  <si>
    <t xml:space="preserve">CIT Cotisation</t>
  </si>
  <si>
    <t xml:space="preserve">IFER</t>
  </si>
  <si>
    <t xml:space="preserve">Solar plants</t>
  </si>
  <si>
    <t xml:space="preserve">Long stop date COD</t>
  </si>
  <si>
    <t xml:space="preserve">Reduced tax rate duration</t>
  </si>
  <si>
    <t xml:space="preserve">IFER prior long stop date</t>
  </si>
  <si>
    <t xml:space="preserve">k€ / MW / year</t>
  </si>
  <si>
    <t xml:space="preserve">IFER post long stop date - before year 20</t>
  </si>
  <si>
    <t xml:space="preserve">IFER post long stop date - after year 20</t>
  </si>
  <si>
    <t xml:space="preserve">Wind projects</t>
  </si>
  <si>
    <t xml:space="preserve">Index</t>
  </si>
  <si>
    <t xml:space="preserve">IPC</t>
  </si>
  <si>
    <t xml:space="preserve">Base year for indexation</t>
  </si>
  <si>
    <t xml:space="preserve">CALAGE &amp; FORMATTING</t>
  </si>
  <si>
    <t xml:space="preserve">Calage accuracy</t>
  </si>
  <si>
    <t xml:space="preserve">rounded</t>
  </si>
  <si>
    <t xml:space="preserve">Accuracy check</t>
  </si>
  <si>
    <t xml:space="preserve">Max iteration</t>
  </si>
  <si>
    <t xml:space="preserve">number</t>
  </si>
  <si>
    <t xml:space="preserve">PHASE</t>
  </si>
  <si>
    <t xml:space="preserve">Phase</t>
  </si>
  <si>
    <t xml:space="preserve">All Phase</t>
  </si>
  <si>
    <t xml:space="preserve">END</t>
  </si>
  <si>
    <t xml:space="preserve">VEHICLE_NAME</t>
  </si>
  <si>
    <t xml:space="preserve">Vehicle name</t>
  </si>
  <si>
    <t xml:space="preserve">###</t>
  </si>
  <si>
    <t xml:space="preserve">TopCo</t>
  </si>
  <si>
    <t xml:space="preserve">Holdco_1</t>
  </si>
  <si>
    <t xml:space="preserve">Holdco_2</t>
  </si>
  <si>
    <t xml:space="preserve">SPV_1</t>
  </si>
  <si>
    <t xml:space="preserve">SPV_2</t>
  </si>
  <si>
    <t xml:space="preserve">SPV_3</t>
  </si>
  <si>
    <t xml:space="preserve">Vehicle activation flag</t>
  </si>
  <si>
    <t xml:space="preserve">VEHICLE_ACTIVATION</t>
  </si>
  <si>
    <t xml:space="preserve">Vehicle activation</t>
  </si>
  <si>
    <t xml:space="preserve">VRAI</t>
  </si>
  <si>
    <t xml:space="preserve">Vehicle ref</t>
  </si>
  <si>
    <t xml:space="preserve">ref</t>
  </si>
  <si>
    <t xml:space="preserve">VEHICLE_TYPE</t>
  </si>
  <si>
    <t xml:space="preserve">Vehicle type</t>
  </si>
  <si>
    <t xml:space="preserve">Holdco</t>
  </si>
  <si>
    <t xml:space="preserve">SPV</t>
  </si>
  <si>
    <t xml:space="preserve">VEHICLE TYPE AND DETENTION</t>
  </si>
  <si>
    <t xml:space="preserve">u</t>
  </si>
  <si>
    <t xml:space="preserve">VEHICLE_PARENT_NAME</t>
  </si>
  <si>
    <t xml:space="preserve">Holding vehicle name</t>
  </si>
  <si>
    <t xml:space="preserve">Holding vehicle type</t>
  </si>
  <si>
    <t xml:space="preserve">Vehicle held by (ref)</t>
  </si>
  <si>
    <t xml:space="preserve">ref_Vehicle</t>
  </si>
  <si>
    <t xml:space="preserve">Ref Perimeter (senior facility)</t>
  </si>
  <si>
    <t xml:space="preserve">ref_Perimeter</t>
  </si>
  <si>
    <t xml:space="preserve">Detention by holdco</t>
  </si>
  <si>
    <t xml:space="preserve">Check vehicle detention</t>
  </si>
  <si>
    <t xml:space="preserve">check</t>
  </si>
  <si>
    <t xml:space="preserve">Check vehicle duplication</t>
  </si>
  <si>
    <t xml:space="preserve">DEBT FACILITIES</t>
  </si>
  <si>
    <t xml:space="preserve">Sernior facility activation</t>
  </si>
  <si>
    <t xml:space="preserve">SENIOR DEBT</t>
  </si>
  <si>
    <t xml:space="preserve">Timing</t>
  </si>
  <si>
    <t xml:space="preserve">Financial close</t>
  </si>
  <si>
    <t xml:space="preserve">Last phase activation</t>
  </si>
  <si>
    <t xml:space="preserve">ref phase</t>
  </si>
  <si>
    <t xml:space="preserve">Grace period adjusted on Interest payment date</t>
  </si>
  <si>
    <t xml:space="preserve">Drawdown period start</t>
  </si>
  <si>
    <t xml:space="preserve">Drawdown period end</t>
  </si>
  <si>
    <t xml:space="preserve">Consolidation before Last COD Activation</t>
  </si>
  <si>
    <t xml:space="preserve">Grace period</t>
  </si>
  <si>
    <t xml:space="preserve">Repayment start</t>
  </si>
  <si>
    <t xml:space="preserve">Repayment end</t>
  </si>
  <si>
    <t xml:space="preserve">Repayment periodicity</t>
  </si>
  <si>
    <t xml:space="preserve">Interest period per phase post consolidation</t>
  </si>
  <si>
    <t xml:space="preserve">Interest rate - Lenders</t>
  </si>
  <si>
    <t xml:space="preserve">Rate index pre consolidation</t>
  </si>
  <si>
    <t xml:space="preserve">E3M</t>
  </si>
  <si>
    <t xml:space="preserve">Rate index post consolidation</t>
  </si>
  <si>
    <t xml:space="preserve">Base for interests calculation</t>
  </si>
  <si>
    <t xml:space="preserve">Floor level</t>
  </si>
  <si>
    <t xml:space="preserve">Margin</t>
  </si>
  <si>
    <t xml:space="preserve">Interest rate - Hedging bank</t>
  </si>
  <si>
    <t xml:space="preserve">Hedging at each consolidation date (VRAI) or at last consolidation date (FAUX)</t>
  </si>
  <si>
    <t xml:space="preserve">Average swap rate</t>
  </si>
  <si>
    <t xml:space="preserve">Swap margin</t>
  </si>
  <si>
    <t xml:space="preserve">Average hedging bank margin</t>
  </si>
  <si>
    <t xml:space="preserve">Commitment fees</t>
  </si>
  <si>
    <t xml:space="preserve">Commitment fees starting @intermediate consolidation (VRAI) or @Global consolidation (FAUX)</t>
  </si>
  <si>
    <t xml:space="preserve">Commitment fees (% per year)</t>
  </si>
  <si>
    <t xml:space="preserve">Upfront fees</t>
  </si>
  <si>
    <t xml:space="preserve">Agency fees</t>
  </si>
  <si>
    <t xml:space="preserve">Agency fees - pre consolidation</t>
  </si>
  <si>
    <t xml:space="preserve">k€ / year</t>
  </si>
  <si>
    <t xml:space="preserve">Agency fees - pre consolidation per phase</t>
  </si>
  <si>
    <t xml:space="preserve">Agency fees - post consolidation</t>
  </si>
  <si>
    <t xml:space="preserve">Agency fees - post consolidation per phase</t>
  </si>
  <si>
    <t xml:space="preserve">Indexation activation</t>
  </si>
  <si>
    <t xml:space="preserve">Base for agency fees calculation</t>
  </si>
  <si>
    <t xml:space="preserve">Exact</t>
  </si>
  <si>
    <t xml:space="preserve">Debt Sizing</t>
  </si>
  <si>
    <t xml:space="preserve">Fixed schedule allocation on a given year, in Phase 1</t>
  </si>
  <si>
    <t xml:space="preserve">Fixed schedule allocation on a given year activation</t>
  </si>
  <si>
    <t xml:space="preserve">Year of fixed schedule allocation</t>
  </si>
  <si>
    <t xml:space="preserve">% Q1</t>
  </si>
  <si>
    <t xml:space="preserve">% Q2</t>
  </si>
  <si>
    <t xml:space="preserve">% Q3</t>
  </si>
  <si>
    <t xml:space="preserve">% Q4</t>
  </si>
  <si>
    <t xml:space="preserve">Principal already reimbursed in Q1</t>
  </si>
  <si>
    <t xml:space="preserve">€</t>
  </si>
  <si>
    <t xml:space="preserve">Principal applied in the given year</t>
  </si>
  <si>
    <t xml:space="preserve">DSCR for sculpting</t>
  </si>
  <si>
    <t xml:space="preserve">DSCR Sculpting merchant period pre contracted</t>
  </si>
  <si>
    <t xml:space="preserve">DSCR Sculpting contracted period</t>
  </si>
  <si>
    <t xml:space="preserve">DSCR Sculpting merchant period post contracted</t>
  </si>
  <si>
    <t xml:space="preserve">Max gearing</t>
  </si>
  <si>
    <t xml:space="preserve">Variable development fees activation</t>
  </si>
  <si>
    <t xml:space="preserve">Pre merchant period</t>
  </si>
  <si>
    <t xml:space="preserve">Sizing activation</t>
  </si>
  <si>
    <t xml:space="preserve">Cash sweep phase 1</t>
  </si>
  <si>
    <t xml:space="preserve">Cash sweep activation</t>
  </si>
  <si>
    <t xml:space="preserve">Sweep fixed amount activation</t>
  </si>
  <si>
    <t xml:space="preserve">Cash sweep fixed amount</t>
  </si>
  <si>
    <t xml:space="preserve">Cas sweep start</t>
  </si>
  <si>
    <t xml:space="preserve">Target maturity reduction</t>
  </si>
  <si>
    <t xml:space="preserve">Part of equity cash flow for cash sweep allocation</t>
  </si>
  <si>
    <t xml:space="preserve">DSCR Distribution</t>
  </si>
  <si>
    <t xml:space="preserve">Sizing method</t>
  </si>
  <si>
    <t xml:space="preserve">Moy</t>
  </si>
  <si>
    <t xml:space="preserve"># of months</t>
  </si>
  <si>
    <t xml:space="preserve"># of period</t>
  </si>
  <si>
    <t xml:space="preserve">period</t>
  </si>
  <si>
    <t xml:space="preserve">Interest rate</t>
  </si>
  <si>
    <t xml:space="preserve">Rate index</t>
  </si>
  <si>
    <t xml:space="preserve">Floor</t>
  </si>
  <si>
    <t xml:space="preserve">Commitment fee</t>
  </si>
  <si>
    <t xml:space="preserve">Commitment fees - % of applicable margin</t>
  </si>
  <si>
    <t xml:space="preserve">VAT FACILITY</t>
  </si>
  <si>
    <t xml:space="preserve">VAT rate</t>
  </si>
  <si>
    <t xml:space="preserve">VAT refund delay</t>
  </si>
  <si>
    <t xml:space="preserve">Debt fixed amount activation</t>
  </si>
  <si>
    <t xml:space="preserve">Debt fixed amount</t>
  </si>
  <si>
    <t xml:space="preserve">Max utilisation</t>
  </si>
  <si>
    <t xml:space="preserve">Buffer on sized amount</t>
  </si>
  <si>
    <t xml:space="preserve">EBL activation</t>
  </si>
  <si>
    <t xml:space="preserve">EBL duration</t>
  </si>
  <si>
    <t xml:space="preserve">monts</t>
  </si>
  <si>
    <t xml:space="preserve">EBL repayment date</t>
  </si>
  <si>
    <t xml:space="preserve">JUNIOR</t>
  </si>
  <si>
    <t xml:space="preserve">Junior facility activation</t>
  </si>
  <si>
    <t xml:space="preserve">Junior facility interest capitalisation </t>
  </si>
  <si>
    <t xml:space="preserve">MERCHANT REVENUES</t>
  </si>
  <si>
    <t xml:space="preserve">MDRA Activation</t>
  </si>
  <si>
    <t xml:space="preserve">MDRA fixed amount activation</t>
  </si>
  <si>
    <t xml:space="preserve">MDRA fixed amount</t>
  </si>
  <si>
    <t xml:space="preserve">MDRA funding - start date, if fixed amount activation</t>
  </si>
  <si>
    <t xml:space="preserve">MDRA funding - end date, if fixed amount activation</t>
  </si>
  <si>
    <t xml:space="preserve">Market price scenario to be covered</t>
  </si>
  <si>
    <t xml:space="preserve">0 €/MWh</t>
  </si>
  <si>
    <t xml:space="preserve">Portion of MDRA to be funded</t>
  </si>
  <si>
    <t xml:space="preserve">Funding start &amp; end date</t>
  </si>
  <si>
    <t xml:space="preserve">DSCR threshold to determine the last funding date</t>
  </si>
  <si>
    <t xml:space="preserve">MDRA provision date Activation</t>
  </si>
  <si>
    <t xml:space="preserve">MDRA provision start date (months from MDRA provision target Date)</t>
  </si>
  <si>
    <t xml:space="preserve">MDRA provision target date (months from Start Post Fit Date)</t>
  </si>
  <si>
    <t xml:space="preserve">Portion of CF available for MDRA (unused if MDRA Contract Duration Activation is TRUE)</t>
  </si>
  <si>
    <t xml:space="preserve">D&amp;A</t>
  </si>
  <si>
    <t xml:space="preserve">Interests and fees 1st period</t>
  </si>
  <si>
    <t xml:space="preserve">D&amp;A duration</t>
  </si>
  <si>
    <t xml:space="preserve">EQUITY</t>
  </si>
  <si>
    <t xml:space="preserve">DISCOUNT FACTOR IRR</t>
  </si>
  <si>
    <t xml:space="preserve">Discount factor</t>
  </si>
  <si>
    <t xml:space="preserve">SHARE CAPITAL</t>
  </si>
  <si>
    <t xml:space="preserve">Initial share capital (excl. crowdfunding investment)</t>
  </si>
  <si>
    <t xml:space="preserve">CROWDFUNDING</t>
  </si>
  <si>
    <t xml:space="preserve">Crowdfunding activation</t>
  </si>
  <si>
    <t xml:space="preserve">Crowdfunding form</t>
  </si>
  <si>
    <t xml:space="preserve">Crowdfunding fixed amount</t>
  </si>
  <si>
    <t xml:space="preserve">Crowdfunding amount, if fixed amount activation</t>
  </si>
  <si>
    <t xml:space="preserve">Crowdfunding target amount (% of total equity)</t>
  </si>
  <si>
    <t xml:space="preserve">Crowdfunding interest rate</t>
  </si>
  <si>
    <t xml:space="preserve">Crowdfunding interests capitalisation</t>
  </si>
  <si>
    <t xml:space="preserve">Signing date</t>
  </si>
  <si>
    <t xml:space="preserve">Injection date</t>
  </si>
  <si>
    <t xml:space="preserve">Injection date if not specified</t>
  </si>
  <si>
    <t xml:space="preserve">Repayment duration</t>
  </si>
  <si>
    <t xml:space="preserve">months </t>
  </si>
  <si>
    <t xml:space="preserve">Repayment date</t>
  </si>
  <si>
    <t xml:space="preserve">SHL</t>
  </si>
  <si>
    <t xml:space="preserve">Equity prorata activation</t>
  </si>
  <si>
    <t xml:space="preserve">SHL interest rate</t>
  </si>
  <si>
    <t xml:space="preserve">SHL interest capitalisation </t>
  </si>
  <si>
    <t xml:space="preserve">Minimum SHL requirement during senior financing period activation</t>
  </si>
  <si>
    <t xml:space="preserve">Minimum SHL requirement during senior financing period</t>
  </si>
  <si>
    <t xml:space="preserve">CASH POOLING</t>
  </si>
  <si>
    <t xml:space="preserve">Cash pooling interest rate</t>
  </si>
  <si>
    <t xml:space="preserve">WCR</t>
  </si>
  <si>
    <t xml:space="preserve">Days receivables</t>
  </si>
  <si>
    <t xml:space="preserve">days</t>
  </si>
  <si>
    <t xml:space="preserve">Days payables</t>
  </si>
  <si>
    <t xml:space="preserve">CAPEX</t>
  </si>
  <si>
    <t xml:space="preserve">CAPEX @vehicle</t>
  </si>
  <si>
    <t xml:space="preserve">VEHICLE_OPEX</t>
  </si>
  <si>
    <t xml:space="preserve">Opex vehicle</t>
  </si>
  <si>
    <t xml:space="preserve">VEHICLE_OPEX_START_DATE</t>
  </si>
  <si>
    <t xml:space="preserve">Start date</t>
  </si>
  <si>
    <t xml:space="preserve">VEHICLE_OPEX_END_DATE</t>
  </si>
  <si>
    <t xml:space="preserve">End Date </t>
  </si>
  <si>
    <t xml:space="preserve">VEHICLE_OPEX_INFLATION</t>
  </si>
  <si>
    <t xml:space="preserve">20% IPC</t>
  </si>
  <si>
    <t xml:space="preserve">40% IPC</t>
  </si>
  <si>
    <t xml:space="preserve">SEASONALITY</t>
  </si>
  <si>
    <t xml:space="preserve">Seasonality activation</t>
  </si>
  <si>
    <t xml:space="preserve">Month</t>
  </si>
  <si>
    <t xml:space="preserve">January</t>
  </si>
  <si>
    <t xml:space="preserve">February</t>
  </si>
  <si>
    <t xml:space="preserve">March</t>
  </si>
  <si>
    <t xml:space="preserve">April </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</si>
  <si>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</si>
  <si>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</si>
  <si>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</si>
  <si>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</si>
  <si>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</si>
  <si>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</si>
  <si>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</si>
  <si>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</si>
  <si>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Quarter</t>
  </si>
  <si>
    <t xml:space="preserve">Q1</t>
  </si>
  <si>
    <t xml:space="preserve">Q2</t>
  </si>
  <si>
    <t xml:space="preserve">Q3</t>
  </si>
  <si>
    <t xml:space="preserve">Q4</t>
  </si>
  <si>
    <t xml:space="preserve">Semester</t>
  </si>
  <si>
    <t xml:space="preserve">S1</t>
  </si>
  <si>
    <t xml:space="preserve">S2</t>
  </si>
  <si>
    <t xml:space="preserve">SIZING ASSUMPTIONS</t>
  </si>
  <si>
    <t xml:space="preserve">MERCHANT PERIOD</t>
  </si>
  <si>
    <t xml:space="preserve">Merchant period - lenders</t>
  </si>
  <si>
    <t xml:space="preserve">MERCHANT PRICE</t>
  </si>
  <si>
    <t xml:space="preserve">Merchant price activation</t>
  </si>
  <si>
    <t xml:space="preserve">VRAI/ FAUX</t>
  </si>
  <si>
    <t xml:space="preserve">Merchant price - Lenders</t>
  </si>
  <si>
    <t xml:space="preserve">30 €/MWh</t>
  </si>
  <si>
    <t xml:space="preserve">Merchant price - Sponsor</t>
  </si>
  <si>
    <t xml:space="preserve">Mid captured</t>
  </si>
  <si>
    <t xml:space="preserve">Merchant price</t>
  </si>
  <si>
    <t xml:space="preserve">MRA</t>
  </si>
  <si>
    <t xml:space="preserve">Funding for maintenance reserve</t>
  </si>
  <si>
    <t xml:space="preserve">LAST ACTUAL</t>
  </si>
  <si>
    <t xml:space="preserve">Last actual activation</t>
  </si>
  <si>
    <t xml:space="preserve">Last actual date</t>
  </si>
  <si>
    <t xml:space="preserve">date (31/12/XXX)</t>
  </si>
  <si>
    <t xml:space="preserve">Taxable income Year N-2</t>
  </si>
  <si>
    <t xml:space="preserve">Taxable income Year N-1</t>
  </si>
  <si>
    <t xml:space="preserve">Taxable income Year N</t>
  </si>
  <si>
    <t xml:space="preserve">Use of prior losses against taxable income Year N-1</t>
  </si>
  <si>
    <t xml:space="preserve">Use of prior losses against taxable income Year N</t>
  </si>
  <si>
    <t xml:space="preserve">Tax (loss) carryforwards Year N</t>
  </si>
  <si>
    <t xml:space="preserve">Net result</t>
  </si>
  <si>
    <t xml:space="preserve">Retained earnings for dividends</t>
  </si>
  <si>
    <t xml:space="preserve">Share capital detained</t>
  </si>
  <si>
    <t xml:space="preserve">Senior facility used @last actual date</t>
  </si>
  <si>
    <t xml:space="preserve">Residual year of amortization until full amortization</t>
  </si>
  <si>
    <t xml:space="preserve">CAPEX type 1</t>
  </si>
  <si>
    <t xml:space="preserve">CAPEX type 2</t>
  </si>
  <si>
    <t xml:space="preserve">ASSETS</t>
  </si>
  <si>
    <t xml:space="preserve">Interests and fees 1st Period</t>
  </si>
  <si>
    <t xml:space="preserve">Share capital in vehicle detention</t>
  </si>
  <si>
    <t xml:space="preserve">SHL in SPVs</t>
  </si>
  <si>
    <t xml:space="preserve">Cash pooling with shareholders</t>
  </si>
  <si>
    <t xml:space="preserve">Proceeds account</t>
  </si>
  <si>
    <t xml:space="preserve">Trade receivables</t>
  </si>
  <si>
    <t xml:space="preserve">Total assets</t>
  </si>
  <si>
    <t xml:space="preserve">LIABILITIES</t>
  </si>
  <si>
    <t xml:space="preserve">Legal reserves</t>
  </si>
  <si>
    <t xml:space="preserve">Retained earnings</t>
  </si>
  <si>
    <t xml:space="preserve">Crowdfunding</t>
  </si>
  <si>
    <t xml:space="preserve">Cash pooling with vehicle detention</t>
  </si>
  <si>
    <t xml:space="preserve">DSRF facility</t>
  </si>
  <si>
    <t xml:space="preserve">Junior facility</t>
  </si>
  <si>
    <t xml:space="preserve">Corporate income tax payable</t>
  </si>
  <si>
    <t xml:space="preserve">Crowdfunding interests payable</t>
  </si>
  <si>
    <t xml:space="preserve">Junior facility interests payable</t>
  </si>
  <si>
    <t xml:space="preserve">SHL interest payable</t>
  </si>
  <si>
    <t xml:space="preserve">Trade payables</t>
  </si>
  <si>
    <t xml:space="preserve">Total liabilities</t>
  </si>
  <si>
    <t xml:space="preserve">Check BS</t>
  </si>
  <si>
    <t xml:space="preserve">VEHICLE IN PERIMETERS</t>
  </si>
  <si>
    <t xml:space="preserve">Annual revenues from electricity sold per perimeter</t>
  </si>
  <si>
    <t xml:space="preserve">Assets in perimeter</t>
  </si>
  <si>
    <t xml:space="preserve">All Assets in senior facility perimeter</t>
  </si>
  <si>
    <t xml:space="preserve">Vehicle in perimeter</t>
  </si>
  <si>
    <t xml:space="preserve">Capacity in perimeter</t>
  </si>
  <si>
    <t xml:space="preserve">kW</t>
  </si>
  <si>
    <t xml:space="preserve">Capacity in perimeter per detention</t>
  </si>
  <si>
    <t xml:space="preserve">Construction costs in perimeter</t>
  </si>
  <si>
    <t xml:space="preserve">Annual production in perimeter</t>
  </si>
  <si>
    <t xml:space="preserve">Last COD date in perimeter</t>
  </si>
  <si>
    <t xml:space="preserve">Average P90 in perimeter</t>
  </si>
  <si>
    <t xml:space="preserve">Average P50 in perimeter</t>
  </si>
  <si>
    <t xml:space="preserve">Average tarif in perimeter</t>
  </si>
  <si>
    <t xml:space="preserve">INFLATION</t>
  </si>
  <si>
    <t xml:space="preserve">FORECASTS</t>
  </si>
  <si>
    <t xml:space="preserve">MARKET_IPC_SCENARIO</t>
  </si>
  <si>
    <t xml:space="preserve">Inflation scenario</t>
  </si>
  <si>
    <t xml:space="preserve">MARKET_IPC_PERCENTAGES</t>
  </si>
  <si>
    <t xml:space="preserve">MARKET_IPC_YEAR_START</t>
  </si>
  <si>
    <t xml:space="preserve">% per year</t>
  </si>
  <si>
    <t xml:space="preserve">q</t>
  </si>
  <si>
    <t xml:space="preserve">MARKET_IPC_YEAR_STOP</t>
  </si>
  <si>
    <t xml:space="preserve">MARKET PRICES</t>
  </si>
  <si>
    <t xml:space="preserve">AURORA Q1</t>
  </si>
  <si>
    <t xml:space="preserve">MARKET_PRICE_SCENARIO</t>
  </si>
  <si>
    <t xml:space="preserve">Market price scenario</t>
  </si>
  <si>
    <t xml:space="preserve">Flat price dashboard</t>
  </si>
  <si>
    <t xml:space="preserve">Low captured</t>
  </si>
  <si>
    <t xml:space="preserve">50 €/MWh</t>
  </si>
  <si>
    <t xml:space="preserve">Low non indexed</t>
  </si>
  <si>
    <t xml:space="preserve">70%Mid/30%Low</t>
  </si>
  <si>
    <t xml:space="preserve">80%Mid/20%Low</t>
  </si>
  <si>
    <t xml:space="preserve">INDEX</t>
  </si>
  <si>
    <t xml:space="preserve">E1M</t>
  </si>
  <si>
    <t xml:space="preserve">E6M</t>
  </si>
  <si>
    <t xml:space="preserve">Date BoP</t>
  </si>
  <si>
    <t xml:space="preserve">Date EoP</t>
  </si>
  <si>
    <t xml:space="preserve">ASSET_CODE</t>
  </si>
  <si>
    <t xml:space="preserve">Vehicle</t>
  </si>
  <si>
    <t xml:space="preserve">SPV_42</t>
  </si>
  <si>
    <t xml:space="preserve">ASSET_NAME</t>
  </si>
  <si>
    <t xml:space="preserve">Asset name</t>
  </si>
  <si>
    <t xml:space="preserve">name</t>
  </si>
  <si>
    <t xml:space="preserve">Actif_1</t>
  </si>
  <si>
    <t xml:space="preserve">Actif_2</t>
  </si>
  <si>
    <t xml:space="preserve">Actif_3</t>
  </si>
  <si>
    <t xml:space="preserve">Actif_4</t>
  </si>
  <si>
    <t xml:space="preserve">Actif_does_not_exist</t>
  </si>
  <si>
    <t xml:space="preserve">ASSET_TYPE</t>
  </si>
  <si>
    <t xml:space="preserve">Asset type</t>
  </si>
  <si>
    <t xml:space="preserve">Solar</t>
  </si>
  <si>
    <t xml:space="preserve">nimp</t>
  </si>
  <si>
    <t xml:space="preserve">Contract type</t>
  </si>
  <si>
    <t xml:space="preserve">contract</t>
  </si>
  <si>
    <t xml:space="preserve">phase</t>
  </si>
  <si>
    <t xml:space="preserve">ref Asset</t>
  </si>
  <si>
    <t xml:space="preserve">ref_Asset</t>
  </si>
  <si>
    <t xml:space="preserve">ref Vehicle</t>
  </si>
  <si>
    <t xml:space="preserve">ref Perimeter (senior facility)</t>
  </si>
  <si>
    <t xml:space="preserve">ref_Perimeter (senior facility)</t>
  </si>
  <si>
    <t xml:space="preserve">ASSET_TYPOLOGY</t>
  </si>
  <si>
    <t xml:space="preserve">Asset typology</t>
  </si>
  <si>
    <t xml:space="preserve">ref_Typo</t>
  </si>
  <si>
    <t xml:space="preserve">BAT</t>
  </si>
  <si>
    <t xml:space="preserve">SOL</t>
  </si>
  <si>
    <t xml:space="preserve">OMBRIERE</t>
  </si>
  <si>
    <t xml:space="preserve">ASSET ACTIVATION</t>
  </si>
  <si>
    <t xml:space="preserve">ASSET_MASTER_ACTIVATION</t>
  </si>
  <si>
    <t xml:space="preserve">Master asset activation</t>
  </si>
  <si>
    <t xml:space="preserve">Number of assets</t>
  </si>
  <si>
    <t xml:space="preserve">Phase activation</t>
  </si>
  <si>
    <t xml:space="preserve">ASSET_ACTIVATION</t>
  </si>
  <si>
    <t xml:space="preserve">Asset activation</t>
  </si>
  <si>
    <t xml:space="preserve">Sensitives</t>
  </si>
  <si>
    <t xml:space="preserve">Asset life in sensitive</t>
  </si>
  <si>
    <t xml:space="preserve">Part of Assets in perimeter (senior facility)</t>
  </si>
  <si>
    <t xml:space="preserve">Activation</t>
  </si>
  <si>
    <t xml:space="preserve">Asset life in sensitive for 5% of portfolio</t>
  </si>
  <si>
    <t xml:space="preserve">CONSTRUCTION</t>
  </si>
  <si>
    <t xml:space="preserve">ASSET_CONSTRUCTION_START</t>
  </si>
  <si>
    <t xml:space="preserve">Construction start</t>
  </si>
  <si>
    <t xml:space="preserve">ASSET_CONSTRUCTION_END</t>
  </si>
  <si>
    <t xml:space="preserve">Construction end</t>
  </si>
  <si>
    <t xml:space="preserve">Activated construction phase</t>
  </si>
  <si>
    <t xml:space="preserve">OPERATING</t>
  </si>
  <si>
    <t xml:space="preserve">ASSET_MERCHANT_PRE_CONTRACT_START</t>
  </si>
  <si>
    <t xml:space="preserve">Merchant pre contracted start</t>
  </si>
  <si>
    <t xml:space="preserve">Merchant pre contracted duration</t>
  </si>
  <si>
    <t xml:space="preserve">ASSET_MERCHANT_PRE_CONTRACT_END</t>
  </si>
  <si>
    <t xml:space="preserve">Merchant pre contracted end</t>
  </si>
  <si>
    <t xml:space="preserve">ASSET_OPERATION_CONTRACT_START</t>
  </si>
  <si>
    <t xml:space="preserve">Contract start</t>
  </si>
  <si>
    <t xml:space="preserve">Contract duration</t>
  </si>
  <si>
    <t xml:space="preserve">ASSET_OPERATION_CONTRACT_END</t>
  </si>
  <si>
    <t xml:space="preserve">Contract end</t>
  </si>
  <si>
    <t xml:space="preserve">ASSET_MERCHANT_POST_CONTRACT_START</t>
  </si>
  <si>
    <t xml:space="preserve">Merchant start post contracted</t>
  </si>
  <si>
    <t xml:space="preserve">Merchant period</t>
  </si>
  <si>
    <t xml:space="preserve">ASSET_MERCHANT_POST_CONTRACT_END</t>
  </si>
  <si>
    <t xml:space="preserve">End of merchant post contracted</t>
  </si>
  <si>
    <t xml:space="preserve">Merchant period - sponsor</t>
  </si>
  <si>
    <t xml:space="preserve">End of merchant post contracted - lenders</t>
  </si>
  <si>
    <t xml:space="preserve">Operating duration - lenders</t>
  </si>
  <si>
    <t xml:space="preserve">Operating start - lenders</t>
  </si>
  <si>
    <t xml:space="preserve">Operating end - lenders</t>
  </si>
  <si>
    <t xml:space="preserve">PRODUCTION</t>
  </si>
  <si>
    <t xml:space="preserve">SELF-CONSUMPTION</t>
  </si>
  <si>
    <t xml:space="preserve">ASSET_SELF_CONSUMPTION</t>
  </si>
  <si>
    <t xml:space="preserve">FAUX</t>
  </si>
  <si>
    <t xml:space="preserve">ASSET_SELF_CONSUMPTION_ANNUAL_FEE</t>
  </si>
  <si>
    <t xml:space="preserve">Annual fee charged for self-consumption</t>
  </si>
  <si>
    <t xml:space="preserve">CAPACITY</t>
  </si>
  <si>
    <t xml:space="preserve">ASSET_INSTALLED_CAPACITY</t>
  </si>
  <si>
    <t xml:space="preserve">Capacity @ COD</t>
  </si>
  <si>
    <t xml:space="preserve">Installed capacity</t>
  </si>
  <si>
    <t xml:space="preserve">CAPACITY DEGRADATION</t>
  </si>
  <si>
    <t xml:space="preserve">ASSET_CAPACITY_DEGRADATION_RATE_LENDERS</t>
  </si>
  <si>
    <t xml:space="preserve">Degradation - lenders</t>
  </si>
  <si>
    <t xml:space="preserve">ASSET_CAPACITY_DEGRADATION_RATE_SPONSOR</t>
  </si>
  <si>
    <t xml:space="preserve">Degradation - sponsor</t>
  </si>
  <si>
    <t xml:space="preserve">ASSET_CAPACITY_DEGRADATION_START_DATE</t>
  </si>
  <si>
    <t xml:space="preserve">Capacity at start date</t>
  </si>
  <si>
    <t xml:space="preserve">ASSET_YIELD_LENDERS</t>
  </si>
  <si>
    <t xml:space="preserve">Yield - lenders</t>
  </si>
  <si>
    <t xml:space="preserve">P90</t>
  </si>
  <si>
    <t xml:space="preserve">ASSET_YIELD_SPONSOR</t>
  </si>
  <si>
    <t xml:space="preserve">Yield - sponsor</t>
  </si>
  <si>
    <t xml:space="preserve">P50</t>
  </si>
  <si>
    <t xml:space="preserve">ASSET_YIELD_PORTOFOLIO_EFFECT</t>
  </si>
  <si>
    <t xml:space="preserve">Portfolio effect on P90</t>
  </si>
  <si>
    <t xml:space="preserve">ASSET_YIELD_EXCL_CAPACITY_P90</t>
  </si>
  <si>
    <t xml:space="preserve">ASSET_YIELD_EXCL_CAPACITY_P50</t>
  </si>
  <si>
    <t xml:space="preserve">ASSET_YIELD_EXCL_CAPACITY</t>
  </si>
  <si>
    <t xml:space="preserve">Yield excl availability</t>
  </si>
  <si>
    <t xml:space="preserve">AVAILABILITY</t>
  </si>
  <si>
    <t xml:space="preserve">ASSET_PRODUCTION_AVAILABILITY_LENDERS</t>
  </si>
  <si>
    <t xml:space="preserve">Availability - lenders</t>
  </si>
  <si>
    <t xml:space="preserve">ASSET_PRODUCTION_AVAILABILITY_SPONSOR</t>
  </si>
  <si>
    <t xml:space="preserve">Availability - sponsor</t>
  </si>
  <si>
    <t xml:space="preserve">ASSET_PRODUCTION_AVAILABILITY</t>
  </si>
  <si>
    <t xml:space="preserve">REVENUES</t>
  </si>
  <si>
    <t xml:space="preserve">CONTRACTED REVENUES</t>
  </si>
  <si>
    <t xml:space="preserve">ASSET_CONTRACTED_REVENUES_REF_TARIFF</t>
  </si>
  <si>
    <t xml:space="preserve">Reference tariff (indexed @ COD), excl. bonus</t>
  </si>
  <si>
    <t xml:space="preserve">ASSET_CONTRACTED_REVENUES_BONUS_TARIFF</t>
  </si>
  <si>
    <t xml:space="preserve">Bonus</t>
  </si>
  <si>
    <t xml:space="preserve">ASSET_CONTRACTED_REVENUES_MALUS_TARIFF</t>
  </si>
  <si>
    <t xml:space="preserve">Malus</t>
  </si>
  <si>
    <t xml:space="preserve">ASSET_CONTRACTED_REVENUES_MALUS_ACTIVATION</t>
  </si>
  <si>
    <t xml:space="preserve">Malus activation</t>
  </si>
  <si>
    <t xml:space="preserve">ASSET_REVENUES_INFLATION</t>
  </si>
  <si>
    <t xml:space="preserve">ASSET_CONTRACTED_REVENUES_YIELD_THRESHOLD_ACTIVATION</t>
  </si>
  <si>
    <t xml:space="preserve">Yield threshold activation</t>
  </si>
  <si>
    <t xml:space="preserve">ASSET_CONTRACTED_REVENUES_YIELD_THRESHOLD</t>
  </si>
  <si>
    <t xml:space="preserve">Yield threshold</t>
  </si>
  <si>
    <t xml:space="preserve">ASSET_CONTRACTED_REVENUES_TARIFF_ABOVE_THRESHOLD</t>
  </si>
  <si>
    <t xml:space="preserve">Reference tariff above threshold</t>
  </si>
  <si>
    <t xml:space="preserve">Average tariff including yield threshold</t>
  </si>
  <si>
    <t xml:space="preserve">Merchant price scenario - lenders</t>
  </si>
  <si>
    <t xml:space="preserve">Merchant price scenario - sponsor</t>
  </si>
  <si>
    <t xml:space="preserve">Merchant price @Vehicle</t>
  </si>
  <si>
    <t xml:space="preserve">ASSET_REVENUES_MERCHANT_PRICE_SCENARIO</t>
  </si>
  <si>
    <t xml:space="preserve">Merchant price scenario</t>
  </si>
  <si>
    <t xml:space="preserve">ASSET_REVENUES_INFLATION_YEAR_START</t>
  </si>
  <si>
    <t xml:space="preserve">Year of inflation start if activated</t>
  </si>
  <si>
    <t xml:space="preserve">Year of inflation start</t>
  </si>
  <si>
    <t xml:space="preserve">index</t>
  </si>
  <si>
    <t xml:space="preserve">ASSET_OPEX</t>
  </si>
  <si>
    <t xml:space="preserve">Opex value</t>
  </si>
  <si>
    <t xml:space="preserve">OPEX €/MWh (period 1)</t>
  </si>
  <si>
    <t xml:space="preserve">Opex</t>
  </si>
  <si>
    <t xml:space="preserve">End date </t>
  </si>
  <si>
    <t xml:space="preserve">OPEX €/MWh (period 2)</t>
  </si>
  <si>
    <t xml:space="preserve">OPEX k€ /Year</t>
  </si>
  <si>
    <t xml:space="preserve">O&amp;M</t>
  </si>
  <si>
    <t xml:space="preserve">Gestion</t>
  </si>
  <si>
    <t xml:space="preserve">Maintenance Corrective</t>
  </si>
  <si>
    <t xml:space="preserve">Assurance</t>
  </si>
  <si>
    <t xml:space="preserve">Loyer</t>
  </si>
  <si>
    <t xml:space="preserve">ASSET_LOCAL_TAXES</t>
  </si>
  <si>
    <t xml:space="preserve">LOCAL TAXES</t>
  </si>
  <si>
    <t xml:space="preserve">Eligible capacity for IFER activation</t>
  </si>
  <si>
    <t xml:space="preserve">Eligible capacity for IFER</t>
  </si>
  <si>
    <t xml:space="preserve">Administrative fees</t>
  </si>
  <si>
    <t xml:space="preserve">IFER threshold</t>
  </si>
  <si>
    <t xml:space="preserve">% Injected Capacity eligible for IFER</t>
  </si>
  <si>
    <t xml:space="preserve">Injected Capacity (IFER)</t>
  </si>
  <si>
    <t xml:space="preserve">IFER - before year 20</t>
  </si>
  <si>
    <t xml:space="preserve">IFER - after year 20</t>
  </si>
  <si>
    <t xml:space="preserve">Other taxes</t>
  </si>
  <si>
    <t xml:space="preserve">CFE</t>
  </si>
  <si>
    <t xml:space="preserve">Turpe</t>
  </si>
  <si>
    <t xml:space="preserve">Total other taxes</t>
  </si>
  <si>
    <t xml:space="preserve">CAPEX &amp; D&amp;A</t>
  </si>
  <si>
    <t xml:space="preserve">Duration D&amp;A</t>
  </si>
  <si>
    <t xml:space="preserve">D&amp;A type 1</t>
  </si>
  <si>
    <t xml:space="preserve">D&amp;A type 2</t>
  </si>
  <si>
    <t xml:space="preserve">CAPEX EPC</t>
  </si>
  <si>
    <t xml:space="preserve">D&amp;A type</t>
  </si>
  <si>
    <t xml:space="preserve">Raccordement</t>
  </si>
  <si>
    <t xml:space="preserve">Soulte</t>
  </si>
  <si>
    <t xml:space="preserve">Développement (Notaire)</t>
  </si>
  <si>
    <t xml:space="preserve">Dév</t>
  </si>
  <si>
    <t xml:space="preserve">Apports d'Affaires</t>
  </si>
  <si>
    <t xml:space="preserve">Total CAPEX type 1</t>
  </si>
  <si>
    <t xml:space="preserve">Total CAPEX type 2</t>
  </si>
  <si>
    <t xml:space="preserve">Total CAPEX</t>
  </si>
  <si>
    <t xml:space="preserve">Construction plan</t>
  </si>
  <si>
    <t xml:space="preserve">Model period</t>
  </si>
  <si>
    <t xml:space="preserve">% CAPEX</t>
  </si>
  <si>
    <t xml:space="preserve">Check construction plan</t>
  </si>
  <si>
    <t xml:space="preserve">Construction plan - CAPEX</t>
  </si>
  <si>
    <t xml:space="preserve">Monthly period</t>
  </si>
  <si>
    <t xml:space="preserve">ASSET KEY INFORMATION</t>
  </si>
  <si>
    <t xml:space="preserve">Projected annual production</t>
  </si>
  <si>
    <t xml:space="preserve">Prorata assets based on EBITDA @ Vehicle</t>
  </si>
  <si>
    <t xml:space="preserve">Prorata assets based on EBITDA @ Perimeter (senior facility)</t>
  </si>
  <si>
    <t xml:space="preserve">Prorata assets based on EBITDA @ Perimeter (Phase senior facility)</t>
  </si>
  <si>
    <t xml:space="preserve">Project annual opex</t>
  </si>
  <si>
    <t xml:space="preserve">Total opex/turnover</t>
  </si>
  <si>
    <t xml:space="preserve">EBE/CA</t>
  </si>
  <si>
    <t xml:space="preserve">Projected annual turnover</t>
  </si>
  <si>
    <t xml:space="preserve">Projected EBITDA</t>
  </si>
  <si>
    <t xml:space="preserve">EBE/CAPEX</t>
  </si>
  <si>
    <t xml:space="preserve">Prorata assets based on CA @ Vehicle</t>
  </si>
  <si>
    <t xml:space="preserve">Prorata assets based on CA @ Perimeter (senior facility)</t>
  </si>
  <si>
    <t xml:space="preserve">Prorata assets based on CA @ Perimeter (Phase senior facility)</t>
  </si>
  <si>
    <t xml:space="preserve">PENALTY</t>
  </si>
  <si>
    <t xml:space="preserve">Cap of delay penalty</t>
  </si>
  <si>
    <t xml:space="preserve">%/asset</t>
  </si>
  <si>
    <t xml:space="preserve">Delay penalty</t>
  </si>
  <si>
    <t xml:space="preserve">%/day</t>
  </si>
  <si>
    <t xml:space="preserve">% of CA cover by penalty</t>
  </si>
  <si>
    <t xml:space="preserve">Number of day cover by penalty</t>
  </si>
  <si>
    <t xml:space="preserve">day</t>
  </si>
  <si>
    <t xml:space="preserve">Cap level</t>
  </si>
  <si>
    <t xml:space="preserve">O&amp;M penalty @Cap level</t>
  </si>
  <si>
    <t xml:space="preserve">CA gain (loss) @Cap level</t>
  </si>
</sst>
</file>

<file path=xl/styles.xml><?xml version="1.0" encoding="utf-8"?>
<styleSheet xmlns="http://schemas.openxmlformats.org/spreadsheetml/2006/main">
  <numFmts count="21">
    <numFmt numFmtId="164" formatCode="General"/>
    <numFmt numFmtId="165" formatCode="0.00%;\-0.00%;&quot;-  &quot;;@\ "/>
    <numFmt numFmtId="166" formatCode="#,##0.00;\-0.00;\-"/>
    <numFmt numFmtId="167" formatCode="#,##0_);\(#,##0\);&quot;-  &quot;;@\ "/>
    <numFmt numFmtId="168" formatCode="dd/mm/yyyy;\-0;\-;\-@\-"/>
    <numFmt numFmtId="169" formatCode="0"/>
    <numFmt numFmtId="170" formatCode="#,##0.00\x_);\(#,##0.00&quot;x)&quot;;&quot;-  &quot;;@\ "/>
    <numFmt numFmtId="171" formatCode="_(#,##0_);_(\(#,##0\);&quot;_(&quot;??_);_(@_)"/>
    <numFmt numFmtId="172" formatCode="&quot;TRUE&quot;;&quot;TRUE&quot;;&quot;FALSE&quot;"/>
    <numFmt numFmtId="173" formatCode="#,##0.00"/>
    <numFmt numFmtId="174" formatCode="#,##0.00_);\(#,##0.00\);&quot;-  &quot;;@\ "/>
    <numFmt numFmtId="175" formatCode="0.00%"/>
    <numFmt numFmtId="176" formatCode="#,##0.000_);\(#,##0.000\);&quot;-  &quot;;@\ "/>
    <numFmt numFmtId="177" formatCode="0.000%;\-0.000%;&quot;-  &quot;;@\ "/>
    <numFmt numFmtId="178" formatCode="dd/mm/yyyy"/>
    <numFmt numFmtId="179" formatCode="0%;\-0%;&quot;-  &quot;;@\ "/>
    <numFmt numFmtId="180" formatCode="0%"/>
    <numFmt numFmtId="181" formatCode="mmm\-yy"/>
    <numFmt numFmtId="182" formatCode="0.00000%"/>
    <numFmt numFmtId="183" formatCode="0.0000%"/>
    <numFmt numFmtId="184" formatCode="#,##0.0_);\(#,##0.0\);&quot;-  &quot;;@\ "/>
  </numFmts>
  <fonts count="27">
    <font>
      <sz val="11"/>
      <color theme="1"/>
      <name val="Calibri"/>
      <family val="2"/>
    </font>
    <font>
      <sz val="10"/>
      <name val="Arial"/>
      <family val="0"/>
    </font>
    <font>
      <sz val="10"/>
      <name val="Arial"/>
      <family val="0"/>
    </font>
    <font>
      <sz val="10"/>
      <name val="Arial"/>
      <family val="0"/>
    </font>
    <font>
      <sz val="10"/>
      <color theme="1" tint="0.2499"/>
      <name val="Calibri"/>
      <family val="2"/>
    </font>
    <font>
      <sz val="10"/>
      <color theme="1" tint="0.1498"/>
      <name val="Calibri"/>
      <family val="2"/>
    </font>
    <font>
      <sz val="10"/>
      <color theme="1" tint="0.1499"/>
      <name val="Calibri"/>
      <family val="2"/>
    </font>
    <font>
      <sz val="10"/>
      <color theme="0" tint="-0.15"/>
      <name val="Gisha"/>
      <family val="2"/>
    </font>
    <font>
      <b val="true"/>
      <sz val="10"/>
      <color theme="1" tint="0.2499"/>
      <name val="Gadugi"/>
      <family val="2"/>
    </font>
    <font>
      <i val="true"/>
      <sz val="10"/>
      <color theme="1"/>
      <name val="Calibri"/>
      <family val="2"/>
    </font>
    <font>
      <b val="true"/>
      <u val="single"/>
      <sz val="10"/>
      <color theme="1" tint="0.1496"/>
      <name val="Gisha"/>
      <family val="2"/>
    </font>
    <font>
      <b val="true"/>
      <sz val="10"/>
      <color theme="1" tint="0.1499"/>
      <name val="Gisha"/>
      <family val="2"/>
    </font>
    <font>
      <u val="single"/>
      <sz val="10"/>
      <color theme="1" tint="0.1498"/>
      <name val="Gisha"/>
      <family val="2"/>
    </font>
    <font>
      <i val="true"/>
      <sz val="10"/>
      <color theme="0" tint="-0.5"/>
      <name val="Calibri"/>
      <family val="2"/>
    </font>
    <font>
      <b val="true"/>
      <sz val="10"/>
      <color theme="1"/>
      <name val="Calibri"/>
      <family val="2"/>
    </font>
    <font>
      <sz val="10"/>
      <color theme="1" tint="0.0499"/>
      <name val="Source Sans 3"/>
      <family val="2"/>
    </font>
    <font>
      <b val="true"/>
      <sz val="11"/>
      <color theme="0" tint="-0.25"/>
      <name val="Candara"/>
      <family val="0"/>
    </font>
    <font>
      <sz val="11"/>
      <color theme="1"/>
      <name val="IBM Plex Mono"/>
      <family val="0"/>
    </font>
    <font>
      <b val="true"/>
      <sz val="11"/>
      <color theme="0"/>
      <name val="Calibri"/>
      <family val="2"/>
    </font>
    <font>
      <i val="true"/>
      <sz val="10"/>
      <color theme="1" tint="0.2499"/>
      <name val="Calibri"/>
      <family val="2"/>
    </font>
    <font>
      <b val="true"/>
      <sz val="10"/>
      <color theme="1" tint="0.2499"/>
      <name val="Calibri"/>
      <family val="2"/>
    </font>
    <font>
      <sz val="8"/>
      <color theme="1"/>
      <name val="IBM Plex Mono"/>
      <family val="0"/>
    </font>
    <font>
      <i val="true"/>
      <u val="single"/>
      <sz val="11"/>
      <color theme="1" tint="0.25"/>
      <name val="Calibri"/>
      <family val="0"/>
    </font>
    <font>
      <sz val="10"/>
      <color theme="0"/>
      <name val="Calibri"/>
      <family val="2"/>
    </font>
    <font>
      <i val="true"/>
      <sz val="10"/>
      <color theme="0"/>
      <name val="Calibri"/>
      <family val="2"/>
    </font>
    <font>
      <sz val="11"/>
      <color theme="0"/>
      <name val="Calibri"/>
      <family val="2"/>
    </font>
    <font>
      <sz val="10"/>
      <color theme="0"/>
      <name val="Gisha"/>
      <family val="2"/>
    </font>
  </fonts>
  <fills count="12">
    <fill>
      <patternFill patternType="none"/>
    </fill>
    <fill>
      <patternFill patternType="gray125"/>
    </fill>
    <fill>
      <patternFill patternType="solid">
        <fgColor rgb="FF909090"/>
        <bgColor rgb="FF808080"/>
      </patternFill>
    </fill>
    <fill>
      <patternFill patternType="solid">
        <fgColor rgb="FF404040"/>
        <bgColor rgb="FF262626"/>
      </patternFill>
    </fill>
    <fill>
      <patternFill patternType="solid">
        <fgColor rgb="FFE6E6E6"/>
        <bgColor rgb="FFF0F0F0"/>
      </patternFill>
    </fill>
    <fill>
      <patternFill patternType="solid">
        <fgColor rgb="FFE6F6FE"/>
        <bgColor rgb="FFF2F2F2"/>
      </patternFill>
    </fill>
    <fill>
      <patternFill patternType="solid">
        <fgColor rgb="FFF0F0F0"/>
        <bgColor rgb="FFF2F2F2"/>
      </patternFill>
    </fill>
    <fill>
      <patternFill patternType="solid">
        <fgColor theme="0" tint="-0.25"/>
        <bgColor rgb="FFA6A6A6"/>
      </patternFill>
    </fill>
    <fill>
      <patternFill patternType="solid">
        <fgColor theme="0" tint="-0.15"/>
        <bgColor rgb="FFE6E6E6"/>
      </patternFill>
    </fill>
    <fill>
      <patternFill patternType="solid">
        <fgColor rgb="FF82C0FE"/>
        <bgColor rgb="FF72B8FE"/>
      </patternFill>
    </fill>
    <fill>
      <patternFill patternType="solid">
        <fgColor rgb="FFF97FFC"/>
        <bgColor rgb="FFFF7C80"/>
      </patternFill>
    </fill>
    <fill>
      <patternFill patternType="solid">
        <fgColor rgb="FF83F1A2"/>
        <bgColor rgb="FF82C0FE"/>
      </patternFill>
    </fill>
  </fills>
  <borders count="26">
    <border diagonalUp="false" diagonalDown="false">
      <left/>
      <right/>
      <top/>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thin">
        <color rgb="FF00CC99"/>
      </left>
      <right style="thin">
        <color rgb="FF00CC99"/>
      </right>
      <top style="thin">
        <color rgb="FF00CC99"/>
      </top>
      <bottom style="thin">
        <color rgb="FF00CC99"/>
      </bottom>
      <diagonal/>
    </border>
    <border diagonalUp="false" diagonalDown="false">
      <left style="medium">
        <color rgb="FF72B8FE"/>
      </left>
      <right style="medium">
        <color rgb="FF72B8FE"/>
      </right>
      <top style="medium">
        <color rgb="FF72B8FE"/>
      </top>
      <bottom style="medium">
        <color rgb="FF72B8FE"/>
      </bottom>
      <diagonal/>
    </border>
    <border diagonalUp="false" diagonalDown="false">
      <left style="medium">
        <color rgb="FF920000"/>
      </left>
      <right style="medium">
        <color rgb="FF920000"/>
      </right>
      <top style="medium">
        <color rgb="FF920000"/>
      </top>
      <bottom style="medium">
        <color rgb="FF920000"/>
      </bottom>
      <diagonal/>
    </border>
    <border diagonalUp="false" diagonalDown="false">
      <left/>
      <right/>
      <top style="thin">
        <color theme="0" tint="-0.15"/>
      </top>
      <bottom style="thin">
        <color theme="0" tint="-0.15"/>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right/>
      <top/>
      <bottom style="double">
        <color theme="0" tint="-0.35"/>
      </bottom>
      <diagonal/>
    </border>
    <border diagonalUp="false" diagonalDown="false">
      <left/>
      <right style="thin">
        <color theme="0" tint="-0.05"/>
      </right>
      <top style="thin">
        <color theme="0" tint="-0.05"/>
      </top>
      <bottom style="double">
        <color theme="0" tint="-0.35"/>
      </bottom>
      <diagonal/>
    </border>
    <border diagonalUp="false" diagonalDown="false">
      <left style="thin">
        <color theme="0" tint="-0.05"/>
      </left>
      <right style="thin">
        <color theme="0" tint="-0.05"/>
      </right>
      <top style="thin">
        <color theme="0" tint="-0.05"/>
      </top>
      <bottom style="double">
        <color theme="0" tint="-0.35"/>
      </bottom>
      <diagonal/>
    </border>
    <border diagonalUp="false" diagonalDown="false">
      <left style="thin">
        <color theme="0" tint="-0.05"/>
      </left>
      <right style="medium"/>
      <top style="thin">
        <color theme="0" tint="-0.05"/>
      </top>
      <bottom style="double">
        <color theme="0" tint="-0.35"/>
      </bottom>
      <diagonal/>
    </border>
    <border diagonalUp="false" diagonalDown="false">
      <left/>
      <right style="medium"/>
      <top/>
      <bottom style="thin">
        <color theme="0" tint="-0.15"/>
      </bottom>
      <diagonal/>
    </border>
    <border diagonalUp="false" diagonalDown="false">
      <left/>
      <right style="medium"/>
      <top style="thin">
        <color theme="0" tint="-0.15"/>
      </top>
      <bottom style="thin">
        <color theme="0" tint="-0.15"/>
      </bottom>
      <diagonal/>
    </border>
    <border diagonalUp="false" diagonalDown="false">
      <left style="medium"/>
      <right/>
      <top/>
      <bottom style="medium"/>
      <diagonal/>
    </border>
    <border diagonalUp="false" diagonalDown="false">
      <left/>
      <right/>
      <top/>
      <bottom style="medium"/>
      <diagonal/>
    </border>
    <border diagonalUp="false" diagonalDown="false">
      <left/>
      <right/>
      <top style="thin">
        <color theme="0" tint="-0.15"/>
      </top>
      <bottom style="medium"/>
      <diagonal/>
    </border>
    <border diagonalUp="false" diagonalDown="false">
      <left/>
      <right style="medium"/>
      <top style="thin">
        <color theme="0" tint="-0.15"/>
      </top>
      <bottom style="medium"/>
      <diagonal/>
    </border>
    <border diagonalUp="false" diagonalDown="false">
      <left/>
      <right/>
      <top/>
      <bottom style="thin">
        <color theme="0" tint="-0.15"/>
      </bottom>
      <diagonal/>
    </border>
    <border diagonalUp="false" diagonalDown="false">
      <left/>
      <right/>
      <top style="thin">
        <color theme="0" tint="-0.15"/>
      </top>
      <bottom/>
      <diagonal/>
    </border>
    <border diagonalUp="false" diagonalDown="false">
      <left style="thin">
        <color theme="0" tint="-0.15"/>
      </left>
      <right/>
      <top style="thin">
        <color theme="0" tint="-0.15"/>
      </top>
      <bottom/>
      <diagonal/>
    </border>
    <border diagonalUp="false" diagonalDown="false">
      <left style="thin">
        <color theme="0" tint="-0.15"/>
      </left>
      <right/>
      <top/>
      <bottom/>
      <diagonal/>
    </border>
    <border diagonalUp="false" diagonalDown="false">
      <left style="thin">
        <color theme="0" tint="-0.15"/>
      </left>
      <right/>
      <top/>
      <bottom style="thin">
        <color theme="0" tint="-0.15"/>
      </bottom>
      <diagonal/>
    </border>
  </borders>
  <cellStyleXfs count="4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80" fontId="0"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true">
      <alignment horizontal="general" vertical="center" textRotation="0" wrapText="false" indent="0" shrinkToFit="false"/>
      <protection locked="true" hidden="false"/>
    </xf>
    <xf numFmtId="166" fontId="4" fillId="0" borderId="0" applyFont="true" applyBorder="false" applyAlignment="true" applyProtection="true">
      <alignment horizontal="general" vertical="center" textRotation="0" wrapText="false" indent="0" shrinkToFit="false"/>
      <protection locked="true" hidden="false"/>
    </xf>
    <xf numFmtId="167" fontId="4" fillId="0" borderId="0" applyFont="true" applyBorder="false" applyAlignment="true" applyProtection="true">
      <alignment horizontal="general" vertical="center" textRotation="0" wrapText="false" indent="0" shrinkToFit="false"/>
      <protection locked="true" hidden="false"/>
    </xf>
    <xf numFmtId="164" fontId="5" fillId="0" borderId="0" applyFont="true" applyBorder="false" applyAlignment="true" applyProtection="true">
      <alignment horizontal="right" vertical="center" textRotation="0" wrapText="false" indent="0" shrinkToFit="false"/>
      <protection locked="true" hidden="false"/>
    </xf>
    <xf numFmtId="164" fontId="0" fillId="2" borderId="0" applyFont="true" applyBorder="false" applyAlignment="true" applyProtection="false">
      <alignment horizontal="general" vertical="bottom" textRotation="0" wrapText="false" indent="0" shrinkToFit="false"/>
    </xf>
    <xf numFmtId="168" fontId="6" fillId="0" borderId="0" applyFont="true" applyBorder="false" applyAlignment="true" applyProtection="false">
      <alignment horizontal="general" vertical="center" textRotation="0" wrapText="false" indent="0" shrinkToFit="false"/>
    </xf>
    <xf numFmtId="169" fontId="4" fillId="0" borderId="0" applyFont="true" applyBorder="false" applyAlignment="true" applyProtection="true">
      <alignment horizontal="general" vertical="center" textRotation="0" wrapText="false" indent="0" shrinkToFit="false"/>
      <protection locked="true" hidden="false"/>
    </xf>
    <xf numFmtId="164" fontId="7" fillId="3" borderId="1" applyFont="true" applyBorder="true" applyAlignment="true" applyProtection="false">
      <alignment horizontal="left" vertical="center" textRotation="0" wrapText="false" indent="1" shrinkToFit="false"/>
    </xf>
    <xf numFmtId="164" fontId="8" fillId="4" borderId="0" applyFont="true" applyBorder="false" applyAlignment="true" applyProtection="true">
      <alignment horizontal="general" vertical="center" textRotation="0" wrapText="false" indent="0" shrinkToFit="false"/>
      <protection locked="true" hidden="false"/>
    </xf>
    <xf numFmtId="164" fontId="4" fillId="5" borderId="0" applyFont="true" applyBorder="false" applyAlignment="true" applyProtection="true">
      <alignment horizontal="right" vertical="center" textRotation="0" wrapText="false" indent="0" shrinkToFit="false"/>
      <protection locked="true" hidden="false"/>
    </xf>
    <xf numFmtId="164" fontId="4" fillId="6" borderId="0" applyFont="true" applyBorder="false" applyAlignment="true" applyProtection="true">
      <alignment horizontal="right" vertical="center" textRotation="0" wrapText="false" indent="0" shrinkToFit="false"/>
      <protection locked="true" hidden="false"/>
    </xf>
    <xf numFmtId="164" fontId="9" fillId="0" borderId="0" applyFont="true" applyBorder="false" applyAlignment="true" applyProtection="true">
      <alignment horizontal="general" vertical="center" textRotation="0" wrapText="false" indent="0" shrinkToFit="false"/>
      <protection locked="true" hidden="false"/>
    </xf>
    <xf numFmtId="170" fontId="4" fillId="0" borderId="0" applyFont="true" applyBorder="false" applyAlignment="true" applyProtection="true">
      <alignment horizontal="general" vertical="center" textRotation="0" wrapText="false" indent="0" shrinkToFit="false"/>
      <protection locked="true" hidden="false"/>
    </xf>
    <xf numFmtId="171" fontId="0" fillId="7" borderId="0" applyFont="true" applyBorder="false" applyAlignment="true" applyProtection="false">
      <alignment horizontal="general" vertical="bottom" textRotation="0" wrapText="false" indent="0" shrinkToFit="false"/>
    </xf>
    <xf numFmtId="164" fontId="10" fillId="0" borderId="0" applyFont="true" applyBorder="true" applyAlignment="true" applyProtection="true">
      <alignment horizontal="left" vertical="center" textRotation="0" wrapText="false" indent="1" shrinkToFit="false"/>
      <protection locked="true" hidden="false"/>
    </xf>
    <xf numFmtId="164" fontId="11" fillId="0" borderId="0" applyFont="true" applyBorder="true" applyAlignment="true" applyProtection="true">
      <alignment horizontal="left" vertical="center" textRotation="0" wrapText="false" indent="0" shrinkToFit="false"/>
      <protection locked="true" hidden="false"/>
    </xf>
    <xf numFmtId="164" fontId="12" fillId="0" borderId="0" applyFont="true" applyBorder="true" applyAlignment="true" applyProtection="true">
      <alignment horizontal="left" vertical="center" textRotation="0" wrapText="false" indent="0" shrinkToFit="false"/>
      <protection locked="true" hidden="false"/>
    </xf>
    <xf numFmtId="164" fontId="13" fillId="0" borderId="0" applyFont="true" applyBorder="false" applyAlignment="true" applyProtection="false">
      <alignment horizontal="right" vertical="bottom" textRotation="0" wrapText="false" indent="0" shrinkToFit="false"/>
    </xf>
    <xf numFmtId="164" fontId="14" fillId="0" borderId="2" applyFont="true" applyBorder="true" applyAlignment="true" applyProtection="true">
      <alignment horizontal="general" vertical="center" textRotation="0" wrapText="false" indent="0" shrinkToFit="false"/>
      <protection locked="true" hidden="false"/>
    </xf>
    <xf numFmtId="164" fontId="5" fillId="0" borderId="0" applyFont="true" applyBorder="false" applyAlignment="true" applyProtection="true">
      <alignment horizontal="right" vertical="center" textRotation="0" wrapText="false" indent="0" shrinkToFit="false"/>
      <protection locked="true" hidden="false"/>
    </xf>
  </cellStyleXfs>
  <cellXfs count="1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2" borderId="0" xfId="24" applyFont="true" applyBorder="true" applyAlignment="true" applyProtection="true">
      <alignment horizontal="general" vertical="center" textRotation="0" wrapText="false" indent="0" shrinkToFit="false"/>
      <protection locked="true" hidden="false"/>
    </xf>
    <xf numFmtId="164" fontId="15" fillId="8" borderId="3" xfId="24" applyFont="true" applyBorder="tru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3" borderId="1" xfId="27" applyFont="true" applyBorder="true" applyAlignment="true" applyProtection="true">
      <alignment horizontal="left" vertical="center" textRotation="0" wrapText="false" indent="1" shrinkToFit="false"/>
      <protection locked="true" hidden="false"/>
    </xf>
    <xf numFmtId="164" fontId="10" fillId="2" borderId="0" xfId="34" applyFont="true" applyBorder="false" applyAlignment="true" applyProtection="true">
      <alignment horizontal="left" vertical="center" textRotation="0" wrapText="false" indent="1" shrinkToFit="false"/>
      <protection locked="true" hidden="false"/>
    </xf>
    <xf numFmtId="164" fontId="10" fillId="2" borderId="0" xfId="34" applyFont="true" applyBorder="false" applyAlignment="true" applyProtection="true">
      <alignment horizontal="center" vertical="center" textRotation="0" wrapText="false" indent="0" shrinkToFit="false"/>
      <protection locked="true" hidden="false"/>
    </xf>
    <xf numFmtId="172" fontId="14" fillId="0" borderId="2" xfId="38" applyFont="true" applyBorder="true" applyAlignment="true" applyProtection="true">
      <alignment horizontal="center" vertical="center" textRotation="0" wrapText="false" indent="0" shrinkToFit="false"/>
      <protection locked="true" hidden="false"/>
    </xf>
    <xf numFmtId="164" fontId="14" fillId="0" borderId="2" xfId="38" applyFont="true" applyBorder="true" applyAlignment="true" applyProtection="true">
      <alignment horizontal="center" vertical="center" textRotation="0" wrapText="false" indent="0" shrinkToFit="false"/>
      <protection locked="true" hidden="false"/>
    </xf>
    <xf numFmtId="164" fontId="8" fillId="4" borderId="0" xfId="28" applyFont="true" applyBorder="true" applyAlignment="true" applyProtection="true">
      <alignment horizontal="general" vertical="center" textRotation="0" wrapText="false" indent="0" shrinkToFit="false"/>
      <protection locked="true" hidden="false"/>
    </xf>
    <xf numFmtId="171" fontId="0" fillId="7" borderId="0" xfId="33"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center" vertical="center" textRotation="0" wrapText="false" indent="0" shrinkToFit="false"/>
      <protection locked="true" hidden="false"/>
    </xf>
    <xf numFmtId="164" fontId="12" fillId="0" borderId="0" xfId="36" applyFont="true" applyBorder="false" applyAlignment="true" applyProtection="true">
      <alignment horizontal="left" vertical="center" textRotation="0" wrapText="false" indent="0" shrinkToFit="false"/>
      <protection locked="true" hidden="false"/>
    </xf>
    <xf numFmtId="164" fontId="13" fillId="0" borderId="0" xfId="37" applyFont="true" applyBorder="true" applyAlignment="true" applyProtection="true">
      <alignment horizontal="right" vertical="bottom" textRotation="0" wrapText="false" indent="0" shrinkToFit="false"/>
      <protection locked="true" hidden="false"/>
    </xf>
    <xf numFmtId="167" fontId="4" fillId="6" borderId="0" xfId="30" applyFont="true" applyBorder="true" applyAlignment="true" applyProtection="true">
      <alignment horizontal="right" vertical="center" textRotation="0" wrapText="false" indent="0" shrinkToFit="false"/>
      <protection locked="true" hidden="false"/>
    </xf>
    <xf numFmtId="173" fontId="0" fillId="0" borderId="0" xfId="0" applyFont="false" applyBorder="false" applyAlignment="true" applyProtection="true">
      <alignment horizontal="general" vertical="center" textRotation="0" wrapText="false" indent="0" shrinkToFit="false"/>
      <protection locked="true" hidden="false"/>
    </xf>
    <xf numFmtId="165" fontId="4" fillId="6" borderId="0" xfId="30" applyFont="true" applyBorder="true" applyAlignment="true" applyProtection="true">
      <alignment horizontal="right" vertical="center" textRotation="0" wrapText="false" indent="0" shrinkToFit="false"/>
      <protection locked="true" hidden="false"/>
    </xf>
    <xf numFmtId="167" fontId="19" fillId="0" borderId="0" xfId="22" applyFont="true" applyBorder="true" applyAlignment="true" applyProtection="true">
      <alignment horizontal="left" vertical="center" textRotation="0" wrapText="false" indent="1" shrinkToFit="false"/>
      <protection locked="true" hidden="false"/>
    </xf>
    <xf numFmtId="167" fontId="19" fillId="6" borderId="0" xfId="30" applyFont="true" applyBorder="true" applyAlignment="true" applyProtection="true">
      <alignment horizontal="right" vertical="center" textRotation="0" wrapText="false" indent="0" shrinkToFit="false"/>
      <protection locked="true" hidden="false"/>
    </xf>
    <xf numFmtId="167" fontId="4" fillId="6" borderId="0" xfId="22" applyFont="true" applyBorder="true" applyAlignment="true" applyProtection="true">
      <alignment horizontal="general" vertical="center" textRotation="0" wrapText="false" indent="0" shrinkToFit="false"/>
      <protection locked="true" hidden="false"/>
    </xf>
    <xf numFmtId="165" fontId="19" fillId="6" borderId="0" xfId="30" applyFont="true" applyBorder="true" applyAlignment="true" applyProtection="true">
      <alignment horizontal="right" vertical="center" textRotation="0" wrapText="false" indent="0" shrinkToFit="false"/>
      <protection locked="true" hidden="false"/>
    </xf>
    <xf numFmtId="165" fontId="20" fillId="0" borderId="0" xfId="20" applyFont="true" applyBorder="true" applyAlignment="true" applyProtection="true">
      <alignment horizontal="right" vertical="center" textRotation="0" wrapText="false" indent="0" shrinkToFit="false"/>
      <protection locked="true" hidden="false"/>
    </xf>
    <xf numFmtId="166" fontId="4" fillId="6" borderId="0" xfId="21" applyFont="true" applyBorder="true" applyAlignment="true" applyProtection="true">
      <alignment horizontal="general" vertical="center"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8" fontId="4" fillId="6" borderId="0" xfId="30" applyFont="true" applyBorder="true" applyAlignment="true" applyProtection="true">
      <alignment horizontal="right" vertical="center" textRotation="0" wrapText="false" indent="0" shrinkToFit="false"/>
      <protection locked="true" hidden="false"/>
    </xf>
    <xf numFmtId="167" fontId="0" fillId="0" borderId="0" xfId="0" applyFont="false" applyBorder="false" applyAlignment="true" applyProtection="true">
      <alignment horizontal="general" vertical="center" textRotation="0" wrapText="false" indent="0" shrinkToFit="false"/>
      <protection locked="true" hidden="false"/>
    </xf>
    <xf numFmtId="174" fontId="4" fillId="6" borderId="0" xfId="30" applyFont="true" applyBorder="true" applyAlignment="true" applyProtection="true">
      <alignment horizontal="right" vertical="center" textRotation="0" wrapText="false" indent="0" shrinkToFit="false"/>
      <protection locked="true" hidden="false"/>
    </xf>
    <xf numFmtId="165" fontId="4" fillId="6" borderId="0" xfId="20" applyFont="true" applyBorder="true" applyAlignment="true" applyProtection="true">
      <alignment horizontal="general" vertical="center"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64" fontId="12" fillId="0" borderId="5" xfId="36" applyFont="true" applyBorder="true" applyAlignment="true" applyProtection="true">
      <alignment horizontal="left" vertical="center" textRotation="0" wrapText="false" indent="0" shrinkToFit="false"/>
      <protection locked="true" hidden="false"/>
    </xf>
    <xf numFmtId="164" fontId="13" fillId="0" borderId="5" xfId="37" applyFont="true" applyBorder="true" applyAlignment="true" applyProtection="true">
      <alignment horizontal="right" vertical="bottom" textRotation="0" wrapText="false" indent="0" shrinkToFit="false"/>
      <protection locked="true" hidden="false"/>
    </xf>
    <xf numFmtId="167" fontId="4" fillId="0" borderId="5" xfId="22" applyFont="true" applyBorder="true" applyAlignment="true" applyProtection="true">
      <alignment horizontal="general" vertical="center" textRotation="0" wrapText="false" indent="0" shrinkToFit="false"/>
      <protection locked="true" hidden="false"/>
    </xf>
    <xf numFmtId="165" fontId="4" fillId="0" borderId="5" xfId="20" applyFont="true" applyBorder="true" applyAlignment="true" applyProtection="true">
      <alignment horizontal="general" vertical="center" textRotation="0" wrapText="false" indent="0" shrinkToFit="false"/>
      <protection locked="true" hidden="false"/>
    </xf>
    <xf numFmtId="170" fontId="4" fillId="6" borderId="0" xfId="32" applyFont="true" applyBorder="true" applyAlignment="true" applyProtection="true">
      <alignment horizontal="general" vertical="center" textRotation="0" wrapText="false" indent="0" shrinkToFit="false"/>
      <protection locked="true" hidden="false"/>
    </xf>
    <xf numFmtId="170" fontId="4" fillId="6" borderId="0" xfId="30" applyFont="true" applyBorder="true" applyAlignment="true" applyProtection="true">
      <alignment horizontal="right" vertical="center" textRotation="0" wrapText="false" indent="0" shrinkToFit="false"/>
      <protection locked="true" hidden="false"/>
    </xf>
    <xf numFmtId="175" fontId="0" fillId="0" borderId="0" xfId="0" applyFont="false" applyBorder="false" applyAlignment="true" applyProtection="true">
      <alignment horizontal="general" vertical="center" textRotation="0" wrapText="false" indent="0" shrinkToFit="false"/>
      <protection locked="true" hidden="false"/>
    </xf>
    <xf numFmtId="176" fontId="4" fillId="6" borderId="0" xfId="30" applyFont="true" applyBorder="true" applyAlignment="true" applyProtection="true">
      <alignment horizontal="right" vertical="center" textRotation="0" wrapText="false" indent="0" shrinkToFit="false"/>
      <protection locked="true" hidden="false"/>
    </xf>
    <xf numFmtId="164" fontId="7" fillId="3" borderId="1" xfId="27" applyFont="true" applyBorder="true" applyAlignment="true" applyProtection="true">
      <alignment horizontal="left" vertical="center" textRotation="0" wrapText="false" indent="0" shrinkToFit="false"/>
      <protection locked="true" hidden="false"/>
    </xf>
    <xf numFmtId="164" fontId="21" fillId="0" borderId="0" xfId="0" applyFont="true" applyBorder="false" applyAlignment="true" applyProtection="true">
      <alignment horizontal="right" vertical="bottom" textRotation="0" wrapText="false" indent="0" shrinkToFit="false"/>
      <protection locked="true" hidden="false"/>
    </xf>
    <xf numFmtId="169" fontId="4" fillId="6" borderId="0" xfId="26" applyFont="true" applyBorder="true" applyAlignment="true" applyProtection="true">
      <alignment horizontal="general" vertical="center" textRotation="0" wrapText="false" indent="0" shrinkToFit="false"/>
      <protection locked="true" hidden="false"/>
    </xf>
    <xf numFmtId="164" fontId="0" fillId="0" borderId="6" xfId="0" applyFont="false" applyBorder="true" applyAlignment="true" applyProtection="true">
      <alignment horizontal="general" vertical="center" textRotation="0" wrapText="false" indent="0" shrinkToFit="false"/>
      <protection locked="true" hidden="false"/>
    </xf>
    <xf numFmtId="164" fontId="10" fillId="0" borderId="7" xfId="34" applyFont="true" applyBorder="true" applyAlignment="true" applyProtection="true">
      <alignment horizontal="left" vertical="center" textRotation="0" wrapText="false" indent="1" shrinkToFit="false"/>
      <protection locked="true" hidden="false"/>
    </xf>
    <xf numFmtId="164" fontId="0" fillId="0" borderId="7" xfId="0" applyFont="false" applyBorder="true" applyAlignment="true" applyProtection="true">
      <alignment horizontal="general" vertical="center" textRotation="0" wrapText="false" indent="0" shrinkToFit="false"/>
      <protection locked="true" hidden="false"/>
    </xf>
    <xf numFmtId="164" fontId="12" fillId="0" borderId="7" xfId="36" applyFont="true" applyBorder="true" applyAlignment="true" applyProtection="true">
      <alignment horizontal="left" vertical="center" textRotation="0" wrapText="false" indent="0" shrinkToFit="false"/>
      <protection locked="true" hidden="false"/>
    </xf>
    <xf numFmtId="164" fontId="12" fillId="0" borderId="8" xfId="36" applyFont="true" applyBorder="true" applyAlignment="true" applyProtection="true">
      <alignment horizontal="left" vertical="center" textRotation="0" wrapText="false" indent="0" shrinkToFit="false"/>
      <protection locked="true" hidden="false"/>
    </xf>
    <xf numFmtId="164" fontId="0" fillId="0" borderId="9" xfId="0" applyFont="false" applyBorder="true" applyAlignment="true" applyProtection="true">
      <alignment horizontal="general" vertical="center" textRotation="0" wrapText="false" indent="0" shrinkToFit="false"/>
      <protection locked="true" hidden="false"/>
    </xf>
    <xf numFmtId="164" fontId="13" fillId="0" borderId="10" xfId="37" applyFont="true" applyBorder="true" applyAlignment="true" applyProtection="true">
      <alignment horizontal="right" vertical="bottom" textRotation="0" wrapText="false" indent="0" shrinkToFit="false"/>
      <protection locked="true" hidden="false"/>
    </xf>
    <xf numFmtId="167" fontId="4" fillId="6" borderId="9" xfId="22" applyFont="true" applyBorder="true" applyAlignment="true" applyProtection="true">
      <alignment horizontal="general" vertical="center" textRotation="0" wrapText="false" indent="0" shrinkToFit="false"/>
      <protection locked="true" hidden="false"/>
    </xf>
    <xf numFmtId="165" fontId="4" fillId="6" borderId="11" xfId="30" applyFont="true" applyBorder="true" applyAlignment="true" applyProtection="true">
      <alignment horizontal="right" vertical="center" textRotation="0" wrapText="false" indent="0" shrinkToFit="false"/>
      <protection locked="true" hidden="false"/>
    </xf>
    <xf numFmtId="167" fontId="4" fillId="6" borderId="11" xfId="30" applyFont="true" applyBorder="true" applyAlignment="true" applyProtection="true">
      <alignment horizontal="right" vertical="center" textRotation="0" wrapText="false" indent="0" shrinkToFit="false"/>
      <protection locked="true" hidden="false"/>
    </xf>
    <xf numFmtId="166" fontId="4" fillId="6" borderId="11" xfId="30" applyFont="true" applyBorder="true" applyAlignment="true" applyProtection="true">
      <alignment horizontal="right" vertical="center" textRotation="0" wrapText="false" indent="0" shrinkToFit="false"/>
      <protection locked="true" hidden="false"/>
    </xf>
    <xf numFmtId="167" fontId="4" fillId="6" borderId="11" xfId="22" applyFont="true" applyBorder="true" applyAlignment="true" applyProtection="true">
      <alignment horizontal="general" vertical="center" textRotation="0" wrapText="false" indent="0" shrinkToFit="false"/>
      <protection locked="true" hidden="false"/>
    </xf>
    <xf numFmtId="169" fontId="4" fillId="6" borderId="11" xfId="26" applyFont="true" applyBorder="true" applyAlignment="true" applyProtection="true">
      <alignment horizontal="general" vertical="center" textRotation="0" wrapText="false" indent="0" shrinkToFit="false"/>
      <protection locked="true" hidden="false"/>
    </xf>
    <xf numFmtId="168" fontId="6" fillId="6" borderId="11" xfId="25" applyFont="true" applyBorder="true" applyAlignment="true" applyProtection="true">
      <alignment horizontal="general" vertical="center" textRotation="0" wrapText="false" indent="0" shrinkToFit="false"/>
      <protection locked="true" hidden="false"/>
    </xf>
    <xf numFmtId="164" fontId="4" fillId="6" borderId="2" xfId="30" applyFont="true" applyBorder="true" applyAlignment="true" applyProtection="true">
      <alignment horizontal="right" vertical="center" textRotation="0" wrapText="false" indent="0" shrinkToFit="false"/>
      <protection locked="true" hidden="false"/>
    </xf>
    <xf numFmtId="166" fontId="4" fillId="6" borderId="12" xfId="21" applyFont="true" applyBorder="true" applyAlignment="true" applyProtection="true">
      <alignment horizontal="general" vertical="center" textRotation="0" wrapText="false" indent="0" shrinkToFit="false"/>
      <protection locked="true" hidden="false"/>
    </xf>
    <xf numFmtId="166" fontId="4" fillId="6" borderId="13" xfId="21" applyFont="true" applyBorder="true" applyAlignment="true" applyProtection="true">
      <alignment horizontal="general" vertical="center" textRotation="0" wrapText="false" indent="0" shrinkToFit="false"/>
      <protection locked="true" hidden="false"/>
    </xf>
    <xf numFmtId="167" fontId="4" fillId="6" borderId="13" xfId="22" applyFont="true" applyBorder="true" applyAlignment="true" applyProtection="true">
      <alignment horizontal="general" vertical="center" textRotation="0" wrapText="false" indent="0" shrinkToFit="false"/>
      <protection locked="true" hidden="false"/>
    </xf>
    <xf numFmtId="167" fontId="4" fillId="6" borderId="14" xfId="22" applyFont="true" applyBorder="true" applyAlignment="true" applyProtection="true">
      <alignment horizontal="general" vertical="center" textRotation="0" wrapText="false" indent="0" shrinkToFit="false"/>
      <protection locked="true" hidden="false"/>
    </xf>
    <xf numFmtId="164" fontId="9" fillId="0" borderId="0" xfId="31" applyFont="true" applyBorder="true" applyAlignment="true" applyProtection="true">
      <alignment horizontal="general" vertical="center" textRotation="0" wrapText="false" indent="0" shrinkToFit="false"/>
      <protection locked="true" hidden="false"/>
    </xf>
    <xf numFmtId="167" fontId="9" fillId="0" borderId="9" xfId="31" applyFont="true" applyBorder="true" applyAlignment="true" applyProtection="true">
      <alignment horizontal="general" vertical="center" textRotation="0" wrapText="false" indent="0" shrinkToFit="false"/>
      <protection locked="true" hidden="false"/>
    </xf>
    <xf numFmtId="165" fontId="4" fillId="5" borderId="0" xfId="29" applyFont="true" applyBorder="true" applyAlignment="true" applyProtection="true">
      <alignment horizontal="right" vertical="center" textRotation="0" wrapText="false" indent="0" shrinkToFit="false"/>
      <protection locked="true" hidden="false"/>
    </xf>
    <xf numFmtId="167" fontId="4" fillId="5" borderId="0" xfId="29" applyFont="true" applyBorder="true" applyAlignment="true" applyProtection="true">
      <alignment horizontal="right" vertical="center" textRotation="0" wrapText="false" indent="0" shrinkToFit="false"/>
      <protection locked="true" hidden="false"/>
    </xf>
    <xf numFmtId="169" fontId="4" fillId="5" borderId="0" xfId="26" applyFont="true" applyBorder="true" applyAlignment="true" applyProtection="true">
      <alignment horizontal="general" vertical="center" textRotation="0" wrapText="false" indent="0" shrinkToFit="false"/>
      <protection locked="true" hidden="false"/>
    </xf>
    <xf numFmtId="168" fontId="6" fillId="5" borderId="0" xfId="25" applyFont="true" applyBorder="true" applyAlignment="true" applyProtection="true">
      <alignment horizontal="general" vertical="center" textRotation="0" wrapText="false" indent="0" shrinkToFit="false"/>
      <protection locked="true" hidden="false"/>
    </xf>
    <xf numFmtId="167" fontId="4" fillId="5" borderId="0" xfId="22" applyFont="true" applyBorder="true" applyAlignment="true" applyProtection="true">
      <alignment horizontal="general" vertical="center" textRotation="0" wrapText="false" indent="0" shrinkToFit="false"/>
      <protection locked="true" hidden="false"/>
    </xf>
    <xf numFmtId="166" fontId="4" fillId="0" borderId="5" xfId="21" applyFont="true" applyBorder="true" applyAlignment="true" applyProtection="true">
      <alignment horizontal="general" vertical="center" textRotation="0" wrapText="false" indent="0" shrinkToFit="false"/>
      <protection locked="true" hidden="false"/>
    </xf>
    <xf numFmtId="166" fontId="4" fillId="0" borderId="15" xfId="22" applyFont="true" applyBorder="true" applyAlignment="true" applyProtection="true">
      <alignment horizontal="general" vertical="center" textRotation="0" wrapText="false" indent="0" shrinkToFit="false"/>
      <protection locked="true" hidden="false"/>
    </xf>
    <xf numFmtId="166" fontId="4" fillId="0" borderId="16" xfId="22" applyFont="true" applyBorder="true" applyAlignment="true" applyProtection="true">
      <alignment horizontal="general" vertical="center" textRotation="0" wrapText="false" indent="0" shrinkToFit="false"/>
      <protection locked="true" hidden="false"/>
    </xf>
    <xf numFmtId="167" fontId="4" fillId="0" borderId="16" xfId="22" applyFont="true" applyBorder="true" applyAlignment="true" applyProtection="true">
      <alignment horizontal="general" vertical="center" textRotation="0" wrapText="false" indent="0" shrinkToFit="false"/>
      <protection locked="true" hidden="false"/>
    </xf>
    <xf numFmtId="167" fontId="9" fillId="0" borderId="17" xfId="31" applyFont="true" applyBorder="true" applyAlignment="true" applyProtection="true">
      <alignment horizontal="general" vertical="center" textRotation="0" wrapText="false" indent="0" shrinkToFit="false"/>
      <protection locked="true" hidden="false"/>
    </xf>
    <xf numFmtId="164" fontId="0" fillId="0" borderId="18" xfId="0" applyFont="true" applyBorder="true" applyAlignment="true" applyProtection="true">
      <alignment horizontal="general" vertical="center" textRotation="0" wrapText="false" indent="0" shrinkToFit="false"/>
      <protection locked="true" hidden="false"/>
    </xf>
    <xf numFmtId="165" fontId="4" fillId="5" borderId="18" xfId="29" applyFont="true" applyBorder="true" applyAlignment="true" applyProtection="true">
      <alignment horizontal="right" vertical="center" textRotation="0" wrapText="false" indent="0" shrinkToFit="false"/>
      <protection locked="true" hidden="false"/>
    </xf>
    <xf numFmtId="167" fontId="4" fillId="5" borderId="18" xfId="29" applyFont="true" applyBorder="true" applyAlignment="true" applyProtection="true">
      <alignment horizontal="right" vertical="center" textRotation="0" wrapText="false" indent="0" shrinkToFit="false"/>
      <protection locked="true" hidden="false"/>
    </xf>
    <xf numFmtId="164" fontId="4" fillId="5" borderId="18" xfId="29" applyFont="true" applyBorder="true" applyAlignment="true" applyProtection="true">
      <alignment horizontal="right" vertical="center" textRotation="0" wrapText="false" indent="0" shrinkToFit="false"/>
      <protection locked="true" hidden="false"/>
    </xf>
    <xf numFmtId="164" fontId="4" fillId="5" borderId="18" xfId="29" applyFont="true" applyBorder="true" applyAlignment="true" applyProtection="true">
      <alignment horizontal="left" vertical="center" textRotation="0" wrapText="false" indent="0" shrinkToFit="false"/>
      <protection locked="true" hidden="false"/>
    </xf>
    <xf numFmtId="169" fontId="4" fillId="5" borderId="18" xfId="26" applyFont="true" applyBorder="true" applyAlignment="true" applyProtection="true">
      <alignment horizontal="general" vertical="center" textRotation="0" wrapText="false" indent="0" shrinkToFit="false"/>
      <protection locked="true" hidden="false"/>
    </xf>
    <xf numFmtId="168" fontId="6" fillId="5" borderId="18" xfId="25" applyFont="true" applyBorder="true" applyAlignment="true" applyProtection="true">
      <alignment horizontal="general" vertical="center" textRotation="0" wrapText="false" indent="0" shrinkToFit="false"/>
      <protection locked="true" hidden="false"/>
    </xf>
    <xf numFmtId="167" fontId="4" fillId="5" borderId="18" xfId="22" applyFont="true" applyBorder="true" applyAlignment="true" applyProtection="true">
      <alignment horizontal="general" vertical="center" textRotation="0" wrapText="false" indent="0" shrinkToFit="false"/>
      <protection locked="true" hidden="false"/>
    </xf>
    <xf numFmtId="166" fontId="4" fillId="0" borderId="19" xfId="21" applyFont="true" applyBorder="true" applyAlignment="true" applyProtection="true">
      <alignment horizontal="general" vertical="center" textRotation="0" wrapText="false" indent="0" shrinkToFit="false"/>
      <protection locked="true" hidden="false"/>
    </xf>
    <xf numFmtId="167" fontId="4" fillId="0" borderId="19" xfId="22" applyFont="true" applyBorder="true" applyAlignment="true" applyProtection="true">
      <alignment horizontal="general" vertical="center" textRotation="0" wrapText="false" indent="0" shrinkToFit="false"/>
      <protection locked="true" hidden="false"/>
    </xf>
    <xf numFmtId="167" fontId="4" fillId="0" borderId="20" xfId="22" applyFont="true" applyBorder="true" applyAlignment="true" applyProtection="true">
      <alignment horizontal="general" vertical="center" textRotation="0" wrapText="false" indent="0" shrinkToFit="false"/>
      <protection locked="true" hidden="false"/>
    </xf>
    <xf numFmtId="164" fontId="13" fillId="2" borderId="0" xfId="24" applyFont="true" applyBorder="true" applyAlignment="true" applyProtection="true">
      <alignment horizontal="right" vertical="bottom" textRotation="0" wrapText="false" indent="0" shrinkToFit="false"/>
      <protection locked="true" hidden="false"/>
    </xf>
    <xf numFmtId="168" fontId="4" fillId="5" borderId="0" xfId="29" applyFont="true" applyBorder="true" applyAlignment="true" applyProtection="true">
      <alignment horizontal="right" vertical="center" textRotation="0" wrapText="false" indent="0" shrinkToFit="false"/>
      <protection locked="true" hidden="false"/>
    </xf>
    <xf numFmtId="164" fontId="4" fillId="6" borderId="0" xfId="30" applyFont="true" applyBorder="true" applyAlignment="true" applyProtection="true">
      <alignment horizontal="right" vertical="center" textRotation="0" wrapText="false" indent="0" shrinkToFit="false"/>
      <protection locked="true" hidden="false"/>
    </xf>
    <xf numFmtId="164" fontId="5" fillId="5" borderId="0" xfId="23" applyFont="true" applyBorder="true" applyAlignment="true" applyProtection="true">
      <alignment horizontal="right" vertical="center" textRotation="0" wrapText="false" indent="0" shrinkToFit="false"/>
      <protection locked="true" hidden="false"/>
    </xf>
    <xf numFmtId="177" fontId="4" fillId="5" borderId="0" xfId="29" applyFont="true" applyBorder="true" applyAlignment="true" applyProtection="true">
      <alignment horizontal="right" vertical="center" textRotation="0" wrapText="false" indent="0" shrinkToFit="false"/>
      <protection locked="true" hidden="false"/>
    </xf>
    <xf numFmtId="165" fontId="4" fillId="5" borderId="0" xfId="20" applyFont="true" applyBorder="true" applyAlignment="true" applyProtection="true">
      <alignment horizontal="general" vertical="center" textRotation="0" wrapText="false" indent="0" shrinkToFit="false"/>
      <protection locked="true" hidden="false"/>
    </xf>
    <xf numFmtId="171" fontId="0" fillId="7" borderId="0" xfId="33" applyFont="true" applyBorder="true" applyAlignment="true" applyProtection="true">
      <alignment horizontal="general" vertical="bottom" textRotation="0" wrapText="false" indent="0" shrinkToFit="false"/>
      <protection locked="true" hidden="false"/>
    </xf>
    <xf numFmtId="164" fontId="5" fillId="5" borderId="0" xfId="39" applyFont="true" applyBorder="true" applyAlignment="true" applyProtection="true">
      <alignment horizontal="right" vertical="center" textRotation="0" wrapText="false" indent="0" shrinkToFit="false"/>
      <protection locked="true" hidden="false"/>
    </xf>
    <xf numFmtId="170" fontId="4" fillId="5" borderId="0" xfId="32" applyFont="true" applyBorder="true" applyAlignment="true" applyProtection="true">
      <alignment horizontal="general" vertical="center" textRotation="0" wrapText="false" indent="0" shrinkToFit="false"/>
      <protection locked="true" hidden="false"/>
    </xf>
    <xf numFmtId="166" fontId="4" fillId="5" borderId="0" xfId="21" applyFont="true" applyBorder="true" applyAlignment="true" applyProtection="true">
      <alignment horizontal="general" vertical="center" textRotation="0" wrapText="false" indent="0" shrinkToFit="false"/>
      <protection locked="true" hidden="false"/>
    </xf>
    <xf numFmtId="164" fontId="4" fillId="5" borderId="0" xfId="29" applyFont="true" applyBorder="true" applyAlignment="true" applyProtection="true">
      <alignment horizontal="right"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23" fillId="2" borderId="0" xfId="24" applyFont="true" applyBorder="true" applyAlignment="true" applyProtection="true">
      <alignment horizontal="left" vertical="bottom" textRotation="0" wrapText="false" indent="0" shrinkToFit="false"/>
      <protection locked="true" hidden="false"/>
    </xf>
    <xf numFmtId="164" fontId="24" fillId="2" borderId="0" xfId="24" applyFont="true" applyBorder="true" applyAlignment="true" applyProtection="true">
      <alignment horizontal="right" vertical="bottom" textRotation="0" wrapText="false" indent="0" shrinkToFit="false"/>
      <protection locked="true" hidden="false"/>
    </xf>
    <xf numFmtId="171" fontId="0" fillId="2" borderId="0" xfId="24" applyFont="true" applyBorder="true" applyAlignment="true" applyProtection="true">
      <alignment horizontal="general" vertical="center" textRotation="0" wrapText="false" indent="0" shrinkToFit="false"/>
      <protection locked="true" hidden="false"/>
    </xf>
    <xf numFmtId="167" fontId="4" fillId="5" borderId="0" xfId="29" applyFont="true" applyBorder="true" applyAlignment="true" applyProtection="true">
      <alignment horizontal="center" vertical="center" textRotation="0" wrapText="true" indent="0" shrinkToFit="false"/>
      <protection locked="true" hidden="false"/>
    </xf>
    <xf numFmtId="164" fontId="4" fillId="5" borderId="0" xfId="29" applyFont="true" applyBorder="true" applyAlignment="true" applyProtection="true">
      <alignment horizontal="center" vertical="center" textRotation="0" wrapText="false" indent="0" shrinkToFit="false"/>
      <protection locked="true" hidden="false"/>
    </xf>
    <xf numFmtId="171" fontId="9" fillId="2" borderId="0" xfId="24" applyFont="true" applyBorder="true" applyAlignment="true" applyProtection="true">
      <alignment horizontal="general" vertical="center" textRotation="0" wrapText="false" indent="0" shrinkToFit="false"/>
      <protection locked="true" hidden="false"/>
    </xf>
    <xf numFmtId="164" fontId="9" fillId="6" borderId="0" xfId="31" applyFont="true" applyBorder="true" applyAlignment="true" applyProtection="true">
      <alignment horizontal="general" vertical="center" textRotation="0" wrapText="false" indent="0" shrinkToFit="false"/>
      <protection locked="true" hidden="false"/>
    </xf>
    <xf numFmtId="166" fontId="4" fillId="6" borderId="0" xfId="30" applyFont="true" applyBorder="true" applyAlignment="true" applyProtection="true">
      <alignment horizontal="right" vertical="center" textRotation="0" wrapText="false" indent="0" shrinkToFit="false"/>
      <protection locked="true" hidden="false"/>
    </xf>
    <xf numFmtId="164" fontId="10" fillId="0" borderId="0" xfId="34" applyFont="true" applyBorder="false" applyAlignment="true" applyProtection="true">
      <alignment horizontal="left" vertical="center" textRotation="0" wrapText="false" indent="1" shrinkToFit="false"/>
      <protection locked="true" hidden="false"/>
    </xf>
    <xf numFmtId="164" fontId="9" fillId="5" borderId="0" xfId="31" applyFont="true" applyBorder="true" applyAlignment="true" applyProtection="true">
      <alignment horizontal="general" vertical="center" textRotation="0" wrapText="false" indent="0" shrinkToFit="false"/>
      <protection locked="true" hidden="false"/>
    </xf>
    <xf numFmtId="166" fontId="4" fillId="5" borderId="0" xfId="29" applyFont="true" applyBorder="true" applyAlignment="true" applyProtection="true">
      <alignment horizontal="right" vertical="center" textRotation="0" wrapText="false" indent="0" shrinkToFit="false"/>
      <protection locked="true" hidden="false"/>
    </xf>
    <xf numFmtId="170" fontId="4" fillId="5" borderId="0" xfId="29" applyFont="true" applyBorder="true" applyAlignment="true" applyProtection="true">
      <alignment horizontal="right" vertical="center" textRotation="0" wrapText="false" indent="0" shrinkToFit="false"/>
      <protection locked="true" hidden="false"/>
    </xf>
    <xf numFmtId="175" fontId="4" fillId="5" borderId="0" xfId="29" applyFont="true" applyBorder="true" applyAlignment="true" applyProtection="true">
      <alignment horizontal="right" vertical="center" textRotation="0" wrapText="false" indent="0" shrinkToFit="false"/>
      <protection locked="true" hidden="false"/>
    </xf>
    <xf numFmtId="178" fontId="4" fillId="5" borderId="0" xfId="29" applyFont="true" applyBorder="true" applyAlignment="true" applyProtection="true">
      <alignment horizontal="right" vertical="center" textRotation="0" wrapText="false" indent="0" shrinkToFit="false"/>
      <protection locked="true" hidden="false"/>
    </xf>
    <xf numFmtId="178" fontId="4" fillId="6" borderId="0" xfId="30" applyFont="true" applyBorder="true" applyAlignment="true" applyProtection="true">
      <alignment horizontal="right" vertical="center" textRotation="0" wrapText="false" indent="0" shrinkToFit="false"/>
      <protection locked="true" hidden="false"/>
    </xf>
    <xf numFmtId="168" fontId="6" fillId="6" borderId="0" xfId="25" applyFont="true" applyBorder="true" applyAlignment="true" applyProtection="true">
      <alignment horizontal="general" vertical="center" textRotation="0" wrapText="false" indent="0" shrinkToFit="false"/>
      <protection locked="true" hidden="false"/>
    </xf>
    <xf numFmtId="164" fontId="4" fillId="5" borderId="0" xfId="29" applyFont="false" applyBorder="false" applyAlignment="false" applyProtection="false">
      <alignment horizontal="right" vertical="center" textRotation="0" wrapText="false" indent="0" shrinkToFit="false"/>
      <protection locked="true" hidden="false"/>
    </xf>
    <xf numFmtId="164" fontId="0" fillId="0" borderId="21" xfId="0" applyFont="false" applyBorder="true" applyAlignment="true" applyProtection="true">
      <alignment horizontal="general" vertical="center" textRotation="0" wrapText="false" indent="0" shrinkToFit="false"/>
      <protection locked="true" hidden="false"/>
    </xf>
    <xf numFmtId="171" fontId="0" fillId="7" borderId="21" xfId="33" applyFont="true" applyBorder="true" applyAlignment="true" applyProtection="true">
      <alignment horizontal="general" vertical="center" textRotation="0" wrapText="false" indent="0" shrinkToFit="false"/>
      <protection locked="true" hidden="false"/>
    </xf>
    <xf numFmtId="164" fontId="10" fillId="0" borderId="21" xfId="34" applyFont="true" applyBorder="true" applyAlignment="true" applyProtection="true">
      <alignment horizontal="left" vertical="center" textRotation="0" wrapText="false" indent="1" shrinkToFit="false"/>
      <protection locked="true" hidden="false"/>
    </xf>
    <xf numFmtId="164" fontId="10" fillId="0" borderId="22" xfId="34" applyFont="true" applyBorder="true" applyAlignment="true" applyProtection="true">
      <alignment horizontal="left" vertical="center" textRotation="0" wrapText="false" indent="1" shrinkToFit="false"/>
      <protection locked="true" hidden="false"/>
    </xf>
    <xf numFmtId="164" fontId="0" fillId="0" borderId="22" xfId="0" applyFont="false" applyBorder="true" applyAlignment="true" applyProtection="true">
      <alignment horizontal="general" vertical="center" textRotation="0" wrapText="false" indent="0" shrinkToFit="false"/>
      <protection locked="true" hidden="false"/>
    </xf>
    <xf numFmtId="164" fontId="13" fillId="0" borderId="22" xfId="37" applyFont="true" applyBorder="true" applyAlignment="true" applyProtection="true">
      <alignment horizontal="right" vertical="bottom" textRotation="0" wrapText="false" indent="0" shrinkToFit="false"/>
      <protection locked="true" hidden="false"/>
    </xf>
    <xf numFmtId="171" fontId="0" fillId="7" borderId="22" xfId="33" applyFont="true" applyBorder="true" applyAlignment="true" applyProtection="true">
      <alignment horizontal="general" vertical="center" textRotation="0" wrapText="false" indent="0" shrinkToFit="false"/>
      <protection locked="true" hidden="false"/>
    </xf>
    <xf numFmtId="167" fontId="4" fillId="6" borderId="22" xfId="22" applyFont="true" applyBorder="true" applyAlignment="true" applyProtection="true">
      <alignment horizontal="general" vertical="center" textRotation="0" wrapText="false" indent="0" shrinkToFit="false"/>
      <protection locked="true" hidden="false"/>
    </xf>
    <xf numFmtId="167" fontId="4" fillId="5" borderId="22" xfId="22" applyFont="true" applyBorder="true" applyAlignment="true" applyProtection="true">
      <alignment horizontal="general" vertical="center" textRotation="0" wrapText="false" indent="0" shrinkToFit="false"/>
      <protection locked="true" hidden="false"/>
    </xf>
    <xf numFmtId="167" fontId="14" fillId="0" borderId="2" xfId="38" applyFont="true" applyBorder="true" applyAlignment="true" applyProtection="true">
      <alignment horizontal="center" vertical="center" textRotation="0" wrapText="false" indent="0" shrinkToFit="false"/>
      <protection locked="true" hidden="false"/>
    </xf>
    <xf numFmtId="179" fontId="4" fillId="6" borderId="0" xfId="20" applyFont="true" applyBorder="true" applyAlignment="true" applyProtection="true">
      <alignment horizontal="general" vertical="center" textRotation="0" wrapText="false" indent="0" shrinkToFit="false"/>
      <protection locked="true" hidden="false"/>
    </xf>
    <xf numFmtId="164" fontId="0" fillId="2" borderId="0" xfId="24" applyFont="true" applyBorder="true" applyAlignment="true" applyProtection="true">
      <alignment horizontal="general" vertical="bottom" textRotation="0" wrapText="false" indent="0" shrinkToFit="false"/>
      <protection locked="true" hidden="false"/>
    </xf>
    <xf numFmtId="180" fontId="4" fillId="5" borderId="0" xfId="29" applyFont="true" applyBorder="true" applyAlignment="true" applyProtection="true">
      <alignment horizontal="right" vertical="center" textRotation="0" wrapText="false" indent="0" shrinkToFit="false"/>
      <protection locked="true" hidden="false"/>
    </xf>
    <xf numFmtId="181" fontId="0" fillId="0" borderId="0" xfId="0" applyFont="false" applyBorder="false" applyAlignment="true" applyProtection="true">
      <alignment horizontal="general" vertical="bottom" textRotation="0" wrapText="false" indent="0" shrinkToFit="false"/>
      <protection locked="true" hidden="false"/>
    </xf>
    <xf numFmtId="164" fontId="25" fillId="10" borderId="0" xfId="0" applyFont="true" applyBorder="false" applyAlignment="true" applyProtection="true">
      <alignment horizontal="general" vertical="bottom" textRotation="0" wrapText="false" indent="0" shrinkToFit="false"/>
      <protection locked="true" hidden="false"/>
    </xf>
    <xf numFmtId="166" fontId="4" fillId="11" borderId="0" xfId="21" applyFont="true" applyBorder="true" applyAlignment="true" applyProtection="true">
      <alignment horizontal="general" vertical="center" textRotation="0" wrapText="false" indent="0" shrinkToFit="false"/>
      <protection locked="true" hidden="false"/>
    </xf>
    <xf numFmtId="168" fontId="9" fillId="5" borderId="0" xfId="31" applyFont="true" applyBorder="true" applyAlignment="true" applyProtection="true">
      <alignment horizontal="general" vertical="center" textRotation="0" wrapText="false" indent="0" shrinkToFit="false"/>
      <protection locked="true" hidden="false"/>
    </xf>
    <xf numFmtId="182" fontId="4" fillId="5" borderId="0" xfId="19" applyFont="true" applyBorder="true" applyAlignment="true" applyProtection="true">
      <alignment horizontal="general" vertical="center" textRotation="0" wrapText="false" indent="0" shrinkToFit="false"/>
      <protection locked="true" hidden="false"/>
    </xf>
    <xf numFmtId="182" fontId="4" fillId="10" borderId="0" xfId="19" applyFont="true" applyBorder="true" applyAlignment="true" applyProtection="true">
      <alignment horizontal="general" vertical="center" textRotation="0" wrapText="false" indent="0" shrinkToFit="false"/>
      <protection locked="true" hidden="false"/>
    </xf>
    <xf numFmtId="164" fontId="26" fillId="2" borderId="0" xfId="24" applyFont="true" applyBorder="true" applyAlignment="true" applyProtection="true">
      <alignment horizontal="general" vertical="center" textRotation="0" wrapText="false" indent="0" shrinkToFit="false"/>
      <protection locked="true" hidden="false"/>
    </xf>
    <xf numFmtId="169" fontId="4" fillId="6" borderId="0" xfId="30" applyFont="true" applyBorder="true" applyAlignment="true" applyProtection="true">
      <alignment horizontal="right" vertical="center" textRotation="0" wrapText="false" indent="0" shrinkToFit="false"/>
      <protection locked="true" hidden="false"/>
    </xf>
    <xf numFmtId="167" fontId="0" fillId="2" borderId="0" xfId="24" applyFont="true" applyBorder="true" applyAlignment="true" applyProtection="true">
      <alignment horizontal="general" vertical="center" textRotation="0" wrapText="false" indent="0" shrinkToFit="false"/>
      <protection locked="true" hidden="false"/>
    </xf>
    <xf numFmtId="169" fontId="4" fillId="5" borderId="0" xfId="29" applyFont="true" applyBorder="true" applyAlignment="true" applyProtection="true">
      <alignment horizontal="right" vertical="center" textRotation="0" wrapText="false" indent="0" shrinkToFit="false"/>
      <protection locked="true" hidden="false"/>
    </xf>
    <xf numFmtId="167" fontId="4" fillId="0" borderId="0" xfId="22" applyFont="true" applyBorder="true" applyAlignment="true" applyProtection="true">
      <alignment horizontal="general" vertical="center"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center" textRotation="0" wrapText="false" indent="0" shrinkToFit="false"/>
      <protection locked="true" hidden="false"/>
    </xf>
    <xf numFmtId="167" fontId="4" fillId="6" borderId="0" xfId="26" applyFont="true" applyBorder="true" applyAlignment="true" applyProtection="true">
      <alignment horizontal="general" vertical="center" textRotation="0" wrapText="false" indent="0" shrinkToFit="false"/>
      <protection locked="true" hidden="false"/>
    </xf>
    <xf numFmtId="165" fontId="13" fillId="0" borderId="0" xfId="37" applyFont="true" applyBorder="true" applyAlignment="true" applyProtection="true">
      <alignment horizontal="right" vertical="bottom" textRotation="0" wrapText="false" indent="0" shrinkToFit="false"/>
      <protection locked="true" hidden="false"/>
    </xf>
    <xf numFmtId="164" fontId="21" fillId="0" borderId="0" xfId="0" applyFont="true" applyBorder="false" applyAlignment="true" applyProtection="true">
      <alignment horizontal="right" vertical="center" textRotation="0" wrapText="false" indent="0" shrinkToFit="false"/>
      <protection locked="true" hidden="false"/>
    </xf>
    <xf numFmtId="164" fontId="21" fillId="0" borderId="0" xfId="0" applyFont="true" applyBorder="false" applyAlignment="true" applyProtection="true">
      <alignment horizontal="right" vertical="bottom" textRotation="0" wrapText="true" indent="0" shrinkToFit="false"/>
      <protection locked="true" hidden="false"/>
    </xf>
    <xf numFmtId="167" fontId="4" fillId="6" borderId="22" xfId="30" applyFont="true" applyBorder="true" applyAlignment="true" applyProtection="true">
      <alignment horizontal="right" vertical="center" textRotation="0" wrapText="false" indent="0" shrinkToFit="false"/>
      <protection locked="true" hidden="false"/>
    </xf>
    <xf numFmtId="166" fontId="0" fillId="0" borderId="0" xfId="0" applyFont="false" applyBorder="false" applyAlignment="true" applyProtection="true">
      <alignment horizontal="general" vertical="center" textRotation="0" wrapText="false" indent="0" shrinkToFit="false"/>
      <protection locked="true" hidden="false"/>
    </xf>
    <xf numFmtId="164" fontId="11" fillId="0" borderId="0" xfId="35" applyFont="true" applyBorder="false" applyAlignment="true" applyProtection="true">
      <alignment horizontal="left" vertical="center" textRotation="0" wrapText="false" indent="0" shrinkToFit="false"/>
      <protection locked="true" hidden="false"/>
    </xf>
    <xf numFmtId="164" fontId="5" fillId="6" borderId="0" xfId="23" applyFont="true" applyBorder="true" applyAlignment="true" applyProtection="true">
      <alignment horizontal="right" vertical="center" textRotation="0" wrapText="false" indent="0" shrinkToFit="false"/>
      <protection locked="true" hidden="false"/>
    </xf>
    <xf numFmtId="169" fontId="4" fillId="5" borderId="0" xfId="29" applyFont="true" applyBorder="true" applyAlignment="true" applyProtection="true">
      <alignment horizontal="left" vertical="center"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12" fillId="5" borderId="0" xfId="36" applyFont="true" applyBorder="false" applyAlignment="true" applyProtection="true">
      <alignment horizontal="left" vertical="center" textRotation="0" wrapText="false" indent="0" shrinkToFit="false"/>
      <protection locked="true" hidden="false"/>
    </xf>
    <xf numFmtId="164" fontId="4" fillId="5" borderId="0" xfId="29" applyFont="true" applyBorder="true" applyAlignment="true" applyProtection="true">
      <alignment horizontal="left" vertical="center" textRotation="0" wrapText="false" indent="0" shrinkToFit="false"/>
      <protection locked="true" hidden="false"/>
    </xf>
    <xf numFmtId="169" fontId="9" fillId="5" borderId="0" xfId="31" applyFont="true" applyBorder="true" applyAlignment="true" applyProtection="true">
      <alignment horizontal="general" vertical="center" textRotation="0" wrapText="false" indent="0" shrinkToFit="false"/>
      <protection locked="true" hidden="false"/>
    </xf>
    <xf numFmtId="166" fontId="4" fillId="0" borderId="0" xfId="21" applyFont="true" applyBorder="true" applyAlignment="true" applyProtection="true">
      <alignment horizontal="general" vertical="center" textRotation="0" wrapText="false" indent="0" shrinkToFit="false"/>
      <protection locked="true" hidden="false"/>
    </xf>
    <xf numFmtId="166" fontId="4" fillId="6" borderId="22" xfId="21" applyFont="true" applyBorder="true" applyAlignment="true" applyProtection="true">
      <alignment horizontal="general" vertical="center" textRotation="0" wrapText="false" indent="0" shrinkToFit="false"/>
      <protection locked="true" hidden="false"/>
    </xf>
    <xf numFmtId="164" fontId="4" fillId="5" borderId="23" xfId="29" applyFont="true" applyBorder="true" applyAlignment="true" applyProtection="true">
      <alignment horizontal="left" vertical="center" textRotation="0" wrapText="false" indent="0" shrinkToFit="false"/>
      <protection locked="true" hidden="false"/>
    </xf>
    <xf numFmtId="167" fontId="4" fillId="0" borderId="22" xfId="22" applyFont="true" applyBorder="true" applyAlignment="true" applyProtection="true">
      <alignment horizontal="general" vertical="center" textRotation="0" wrapText="false" indent="0" shrinkToFit="false"/>
      <protection locked="true" hidden="false"/>
    </xf>
    <xf numFmtId="164" fontId="4" fillId="5" borderId="22" xfId="29" applyFont="true" applyBorder="true" applyAlignment="true" applyProtection="true">
      <alignment horizontal="right" vertical="center" textRotation="0" wrapText="false" indent="0" shrinkToFit="false"/>
      <protection locked="true" hidden="false"/>
    </xf>
    <xf numFmtId="164" fontId="0" fillId="0" borderId="22" xfId="0" applyFont="false" applyBorder="true" applyAlignment="true" applyProtection="true">
      <alignment horizontal="general" vertical="bottom" textRotation="0" wrapText="false" indent="0" shrinkToFit="false"/>
      <protection locked="true" hidden="false"/>
    </xf>
    <xf numFmtId="167" fontId="4" fillId="5" borderId="22" xfId="29" applyFont="true" applyBorder="true" applyAlignment="true" applyProtection="true">
      <alignment horizontal="right" vertical="center" textRotation="0" wrapText="false" indent="0" shrinkToFit="false"/>
      <protection locked="true" hidden="false"/>
    </xf>
    <xf numFmtId="164" fontId="4" fillId="5" borderId="24" xfId="29" applyFont="true" applyBorder="true" applyAlignment="true" applyProtection="true">
      <alignment horizontal="left" vertical="center" textRotation="0" wrapText="false" indent="0" shrinkToFit="false"/>
      <protection locked="true" hidden="false"/>
    </xf>
    <xf numFmtId="164" fontId="9" fillId="5" borderId="25" xfId="31" applyFont="true" applyBorder="true" applyAlignment="true" applyProtection="true">
      <alignment horizontal="general" vertical="center" textRotation="0" wrapText="false" indent="0" shrinkToFit="false"/>
      <protection locked="true" hidden="false"/>
    </xf>
    <xf numFmtId="167" fontId="4" fillId="0" borderId="21" xfId="22" applyFont="true" applyBorder="true" applyAlignment="true" applyProtection="true">
      <alignment horizontal="general" vertical="center" textRotation="0" wrapText="false" indent="0" shrinkToFit="false"/>
      <protection locked="true" hidden="false"/>
    </xf>
    <xf numFmtId="164" fontId="13" fillId="0" borderId="21" xfId="37" applyFont="true" applyBorder="true" applyAlignment="true" applyProtection="true">
      <alignment horizontal="right" vertical="bottom" textRotation="0" wrapText="false" indent="0" shrinkToFit="false"/>
      <protection locked="true" hidden="false"/>
    </xf>
    <xf numFmtId="164" fontId="4" fillId="5" borderId="21" xfId="29" applyFont="true" applyBorder="true" applyAlignment="true" applyProtection="true">
      <alignment horizontal="right" vertical="center" textRotation="0" wrapText="false" indent="0" shrinkToFit="false"/>
      <protection locked="true" hidden="false"/>
    </xf>
    <xf numFmtId="167" fontId="4" fillId="5" borderId="21" xfId="29" applyFont="true" applyBorder="true" applyAlignment="true" applyProtection="true">
      <alignment horizontal="right" vertical="center" textRotation="0" wrapText="false" indent="0" shrinkToFit="false"/>
      <protection locked="true" hidden="false"/>
    </xf>
    <xf numFmtId="165" fontId="4" fillId="0" borderId="0" xfId="20" applyFont="true" applyBorder="true" applyAlignment="true" applyProtection="true">
      <alignment horizontal="general" vertical="center" textRotation="0" wrapText="false" indent="0" shrinkToFit="false"/>
      <protection locked="true" hidden="false"/>
    </xf>
    <xf numFmtId="164" fontId="12" fillId="0" borderId="22" xfId="36" applyFont="true" applyBorder="true" applyAlignment="true" applyProtection="true">
      <alignment horizontal="left" vertical="center" textRotation="0" wrapText="false" indent="0" shrinkToFit="false"/>
      <protection locked="true" hidden="false"/>
    </xf>
    <xf numFmtId="167" fontId="0" fillId="0" borderId="22" xfId="0" applyFont="false" applyBorder="true" applyAlignment="true" applyProtection="true">
      <alignment horizontal="general" vertical="center" textRotation="0" wrapText="false" indent="0" shrinkToFit="false"/>
      <protection locked="true" hidden="false"/>
    </xf>
    <xf numFmtId="171" fontId="9" fillId="7" borderId="0" xfId="31" applyFont="true" applyBorder="true" applyAlignment="true" applyProtection="true">
      <alignment horizontal="general" vertical="center" textRotation="0" wrapText="false" indent="0" shrinkToFit="false"/>
      <protection locked="true" hidden="false"/>
    </xf>
    <xf numFmtId="168" fontId="6" fillId="0" borderId="0" xfId="25" applyFont="true" applyBorder="true" applyAlignment="true" applyProtection="true">
      <alignment horizontal="general" vertical="center" textRotation="0" wrapText="false" indent="0" shrinkToFit="false"/>
      <protection locked="true" hidden="false"/>
    </xf>
    <xf numFmtId="180" fontId="4" fillId="6" borderId="0" xfId="19" applyFont="true" applyBorder="true" applyAlignment="true" applyProtection="true">
      <alignment horizontal="right" vertical="center" textRotation="0" wrapText="false" indent="0" shrinkToFit="false"/>
      <protection locked="true" hidden="false"/>
    </xf>
    <xf numFmtId="180" fontId="0" fillId="0" borderId="0" xfId="19" applyFont="true" applyBorder="true" applyAlignment="true" applyProtection="true">
      <alignment horizontal="general" vertical="center" textRotation="0" wrapText="false" indent="0" shrinkToFit="false"/>
      <protection locked="true" hidden="false"/>
    </xf>
    <xf numFmtId="183" fontId="0" fillId="0" borderId="0" xfId="19" applyFont="true" applyBorder="true" applyAlignment="true" applyProtection="true">
      <alignment horizontal="general" vertical="center" textRotation="0" wrapText="false" indent="0" shrinkToFit="false"/>
      <protection locked="true" hidden="false"/>
    </xf>
    <xf numFmtId="184" fontId="4" fillId="6" borderId="0" xfId="22" applyFont="true" applyBorder="true" applyAlignment="true" applyProtection="true">
      <alignment horizontal="general" vertical="center" textRotation="0" wrapText="false" indent="0" shrinkToFit="false"/>
      <protection locked="true" hidden="false"/>
    </xf>
    <xf numFmtId="174" fontId="4" fillId="6" borderId="0" xfId="22" applyFont="true" applyBorder="true" applyAlignment="true" applyProtection="true">
      <alignment horizontal="general" vertical="center" textRotation="0" wrapText="false" indent="0" shrinkToFit="false"/>
      <protection locked="true" hidden="false"/>
    </xf>
  </cellXfs>
  <cellStyles count="26">
    <cellStyle name="Normal" xfId="0" builtinId="0"/>
    <cellStyle name="Comma" xfId="15" builtinId="3"/>
    <cellStyle name="Comma [0]" xfId="16" builtinId="6"/>
    <cellStyle name="Currency" xfId="17" builtinId="4"/>
    <cellStyle name="Currency [0]" xfId="18" builtinId="7"/>
    <cellStyle name="Percent" xfId="19" builtinId="5"/>
    <cellStyle name="%" xfId="20"/>
    <cellStyle name=",00" xfId="21"/>
    <cellStyle name="Amount" xfId="22"/>
    <cellStyle name="Année" xfId="23"/>
    <cellStyle name="Back" xfId="24"/>
    <cellStyle name="Date" xfId="25"/>
    <cellStyle name="Flag" xfId="26"/>
    <cellStyle name="Gros Titres" xfId="27"/>
    <cellStyle name="Headline" xfId="28"/>
    <cellStyle name="Input" xfId="29"/>
    <cellStyle name="Output" xfId="30"/>
    <cellStyle name="Paste" xfId="31"/>
    <cellStyle name="Ratio" xfId="32"/>
    <cellStyle name="Séparation" xfId="33"/>
    <cellStyle name="Titres Moyen" xfId="34"/>
    <cellStyle name="Titres Petit" xfId="35"/>
    <cellStyle name="Très Petit" xfId="36"/>
    <cellStyle name="Units" xfId="37"/>
    <cellStyle name="VRAI" xfId="38"/>
    <cellStyle name="Year" xfId="39"/>
  </cellStyles>
  <dxfs count="5">
    <dxf>
      <font>
        <name val="Calibri"/>
        <family val="2"/>
        <color rgb="FF000000"/>
        <sz val="11"/>
      </font>
    </dxf>
    <dxf>
      <font>
        <name val="Calibri"/>
        <family val="2"/>
        <b val="1"/>
        <i val="0"/>
        <color rgb="FF00CC99"/>
        <sz val="11"/>
      </font>
      <border diagonalUp="false" diagonalDown="false">
        <left style="thin">
          <color rgb="FF00CC99"/>
        </left>
        <right style="thin">
          <color rgb="FF00CC99"/>
        </right>
        <top style="thin">
          <color rgb="FF00CC99"/>
        </top>
        <bottom style="thin">
          <color rgb="FF00CC99"/>
        </bottom>
        <diagonal/>
      </border>
    </dxf>
    <dxf>
      <font>
        <name val="Calibri"/>
        <family val="2"/>
        <b val="1"/>
        <i val="0"/>
        <color rgb="FFFF7C80"/>
        <sz val="11"/>
      </font>
      <border diagonalUp="false" diagonalDown="false">
        <left style="thin">
          <color rgb="FFFF7C80"/>
        </left>
        <right style="thin">
          <color rgb="FFFF7C80"/>
        </right>
        <top style="thin">
          <color rgb="FFFF7C80"/>
        </top>
        <bottom style="thin">
          <color rgb="FFFF7C80"/>
        </bottom>
        <diagonal/>
      </border>
    </dxf>
    <dxf>
      <font>
        <name val="Calibri"/>
        <family val="2"/>
        <b val="1"/>
        <i val="0"/>
        <color rgb="FF00CC99"/>
        <sz val="11"/>
      </font>
      <border diagonalUp="false" diagonalDown="false">
        <left style="dotted">
          <color theme="0" tint="-0.15"/>
        </left>
        <right style="dotted">
          <color theme="0" tint="-0.15"/>
        </right>
        <top style="dotted">
          <color theme="0" tint="-0.15"/>
        </top>
        <bottom style="dotted">
          <color theme="0" tint="-0.15"/>
        </bottom>
        <diagonal/>
      </border>
    </dxf>
    <dxf>
      <font>
        <name val="Calibri"/>
        <family val="2"/>
        <b val="1"/>
        <i val="0"/>
        <color rgb="FFFF7C80"/>
        <sz val="11"/>
      </font>
      <border diagonalUp="false" diagonalDown="false">
        <left style="dotted">
          <color theme="0" tint="-0.15"/>
        </left>
        <right style="dotted">
          <color theme="0" tint="-0.15"/>
        </right>
        <top style="dotted">
          <color theme="0" tint="-0.15"/>
        </top>
        <bottom style="dotted">
          <color theme="0" tint="-0.15"/>
        </bottom>
        <diagonal/>
      </border>
    </dxf>
  </dxfs>
  <colors>
    <indexedColors>
      <rgbColor rgb="FF000000"/>
      <rgbColor rgb="FFFFFFFF"/>
      <rgbColor rgb="FFFF0000"/>
      <rgbColor rgb="FF00FF00"/>
      <rgbColor rgb="FF0000FF"/>
      <rgbColor rgb="FFFFFF00"/>
      <rgbColor rgb="FFFF00FF"/>
      <rgbColor rgb="FF00FFFF"/>
      <rgbColor rgb="FF920000"/>
      <rgbColor rgb="FF008000"/>
      <rgbColor rgb="FF000080"/>
      <rgbColor rgb="FF808000"/>
      <rgbColor rgb="FF800080"/>
      <rgbColor rgb="FF008080"/>
      <rgbColor rgb="FFBFBFBF"/>
      <rgbColor rgb="FF808080"/>
      <rgbColor rgb="FFA6A6A6"/>
      <rgbColor rgb="FF993366"/>
      <rgbColor rgb="FFF2F2F2"/>
      <rgbColor rgb="FFE6F6FE"/>
      <rgbColor rgb="FF660066"/>
      <rgbColor rgb="FFFF7C80"/>
      <rgbColor rgb="FF025B88"/>
      <rgbColor rgb="FFD9D9D9"/>
      <rgbColor rgb="FF000080"/>
      <rgbColor rgb="FFFF00FF"/>
      <rgbColor rgb="FFFFFF00"/>
      <rgbColor rgb="FF00FFFF"/>
      <rgbColor rgb="FF800080"/>
      <rgbColor rgb="FF800000"/>
      <rgbColor rgb="FF008080"/>
      <rgbColor rgb="FF0000FF"/>
      <rgbColor rgb="FF00CCFF"/>
      <rgbColor rgb="FFC7E3FF"/>
      <rgbColor rgb="FFE6E6E6"/>
      <rgbColor rgb="FFF0F0F0"/>
      <rgbColor rgb="FF82C0FE"/>
      <rgbColor rgb="FFF97FFC"/>
      <rgbColor rgb="FF72B8FE"/>
      <rgbColor rgb="FFFFCC99"/>
      <rgbColor rgb="FF3366FF"/>
      <rgbColor rgb="FF00CC99"/>
      <rgbColor rgb="FF83F1A2"/>
      <rgbColor rgb="FFFFCC00"/>
      <rgbColor rgb="FFFF9900"/>
      <rgbColor rgb="FFFF6600"/>
      <rgbColor rgb="FF7F7F7F"/>
      <rgbColor rgb="FF909090"/>
      <rgbColor rgb="FF003366"/>
      <rgbColor rgb="FF339966"/>
      <rgbColor rgb="FF0D0D0D"/>
      <rgbColor rgb="FF40404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675000</xdr:colOff>
      <xdr:row>19</xdr:row>
      <xdr:rowOff>13320</xdr:rowOff>
    </xdr:from>
    <xdr:to>
      <xdr:col>7</xdr:col>
      <xdr:colOff>5040</xdr:colOff>
      <xdr:row>20</xdr:row>
      <xdr:rowOff>133200</xdr:rowOff>
    </xdr:to>
    <xdr:sp>
      <xdr:nvSpPr>
        <xdr:cNvPr id="0" name="Rectangle : coins arrondis 2"/>
        <xdr:cNvSpPr/>
      </xdr:nvSpPr>
      <xdr:spPr>
        <a:xfrm>
          <a:off x="3717360" y="3343320"/>
          <a:ext cx="941760" cy="295200"/>
        </a:xfrm>
        <a:prstGeom prst="roundRect">
          <a:avLst>
            <a:gd name="adj" fmla="val 16667"/>
          </a:avLst>
        </a:prstGeom>
        <a:solidFill>
          <a:srgbClr val="920000"/>
        </a:solidFill>
        <a:ln w="12600">
          <a:solidFill>
            <a:srgbClr val="f2f2f2"/>
          </a:solidFill>
          <a:round/>
        </a:ln>
      </xdr:spPr>
      <xdr:style>
        <a:lnRef idx="0"/>
        <a:fillRef idx="0"/>
        <a:effectRef idx="0"/>
        <a:fontRef idx="minor"/>
      </xdr:style>
      <xdr:txBody>
        <a:bodyPr vertOverflow="clip" lIns="90000" rIns="90000" tIns="45000" bIns="45000" anchor="ctr">
          <a:noAutofit/>
        </a:bodyPr>
        <a:p>
          <a:pPr algn="ctr">
            <a:lnSpc>
              <a:spcPct val="100000"/>
            </a:lnSpc>
          </a:pPr>
          <a:r>
            <a:rPr b="1" lang="fr-FR" sz="1100" strike="noStrike" u="none">
              <a:solidFill>
                <a:schemeClr val="lt1">
                  <a:lumMod val="75000"/>
                </a:schemeClr>
              </a:solidFill>
              <a:effectLst/>
              <a:uFillTx/>
              <a:latin typeface="Candara"/>
            </a:rPr>
            <a:t>Accept</a:t>
          </a:r>
          <a:endParaRPr b="0" lang="en-GB" sz="1100" strike="noStrike" u="none">
            <a:effectLst/>
            <a:uFillTx/>
            <a:latin typeface="Times New Roman"/>
          </a:endParaRPr>
        </a:p>
      </xdr:txBody>
    </xdr:sp>
    <xdr:clientData/>
  </xdr:twoCellAnchor>
  <xdr:twoCellAnchor editAs="twoCell">
    <xdr:from>
      <xdr:col>8</xdr:col>
      <xdr:colOff>261360</xdr:colOff>
      <xdr:row>19</xdr:row>
      <xdr:rowOff>13320</xdr:rowOff>
    </xdr:from>
    <xdr:to>
      <xdr:col>9</xdr:col>
      <xdr:colOff>385920</xdr:colOff>
      <xdr:row>20</xdr:row>
      <xdr:rowOff>133200</xdr:rowOff>
    </xdr:to>
    <xdr:sp>
      <xdr:nvSpPr>
        <xdr:cNvPr id="1" name="Rectangle : coins arrondis 3"/>
        <xdr:cNvSpPr/>
      </xdr:nvSpPr>
      <xdr:spPr>
        <a:xfrm>
          <a:off x="5721120" y="3343320"/>
          <a:ext cx="930240" cy="295200"/>
        </a:xfrm>
        <a:prstGeom prst="roundRect">
          <a:avLst>
            <a:gd name="adj" fmla="val 16667"/>
          </a:avLst>
        </a:prstGeom>
        <a:solidFill>
          <a:srgbClr val="920000"/>
        </a:solidFill>
        <a:ln w="12600">
          <a:solidFill>
            <a:srgbClr val="f2f2f2"/>
          </a:solidFill>
          <a:round/>
        </a:ln>
      </xdr:spPr>
      <xdr:style>
        <a:lnRef idx="0"/>
        <a:fillRef idx="0"/>
        <a:effectRef idx="0"/>
        <a:fontRef idx="minor"/>
      </xdr:style>
      <xdr:txBody>
        <a:bodyPr vertOverflow="clip" lIns="90000" rIns="90000" tIns="45000" bIns="45000" anchor="ctr">
          <a:noAutofit/>
        </a:bodyPr>
        <a:p>
          <a:pPr algn="ctr">
            <a:lnSpc>
              <a:spcPct val="100000"/>
            </a:lnSpc>
          </a:pPr>
          <a:r>
            <a:rPr b="1" lang="fr-FR" sz="1100" strike="noStrike" u="none">
              <a:solidFill>
                <a:schemeClr val="lt1">
                  <a:lumMod val="75000"/>
                </a:schemeClr>
              </a:solidFill>
              <a:effectLst/>
              <a:uFillTx/>
              <a:latin typeface="Candara"/>
            </a:rPr>
            <a:t>Refuse</a:t>
          </a:r>
          <a:endParaRPr b="0" lang="en-GB" sz="1100" strike="noStrike" u="none">
            <a:effectLst/>
            <a:uFillTx/>
            <a:latin typeface="Times New Roman"/>
          </a:endParaRPr>
        </a:p>
      </xdr:txBody>
    </xdr:sp>
    <xdr:clientData/>
  </xdr:twoCellAnchor>
  <xdr:twoCellAnchor editAs="oneCell">
    <xdr:from>
      <xdr:col>6</xdr:col>
      <xdr:colOff>713880</xdr:colOff>
      <xdr:row>2</xdr:row>
      <xdr:rowOff>93600</xdr:rowOff>
    </xdr:from>
    <xdr:to>
      <xdr:col>8</xdr:col>
      <xdr:colOff>355320</xdr:colOff>
      <xdr:row>6</xdr:row>
      <xdr:rowOff>67320</xdr:rowOff>
    </xdr:to>
    <xdr:pic>
      <xdr:nvPicPr>
        <xdr:cNvPr id="2" name="Image 5" descr=""/>
        <xdr:cNvPicPr/>
      </xdr:nvPicPr>
      <xdr:blipFill>
        <a:blip r:embed="rId1"/>
        <a:stretch/>
      </xdr:blipFill>
      <xdr:spPr>
        <a:xfrm>
          <a:off x="4561920" y="444240"/>
          <a:ext cx="1253160" cy="6746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17</xdr:col>
      <xdr:colOff>1144800</xdr:colOff>
      <xdr:row>2</xdr:row>
      <xdr:rowOff>55440</xdr:rowOff>
    </xdr:from>
    <xdr:to>
      <xdr:col>18</xdr:col>
      <xdr:colOff>466560</xdr:colOff>
      <xdr:row>3</xdr:row>
      <xdr:rowOff>155160</xdr:rowOff>
    </xdr:to>
    <xdr:sp>
      <xdr:nvSpPr>
        <xdr:cNvPr id="3" name="Rectangle : coins arrondis 2"/>
        <xdr:cNvSpPr/>
      </xdr:nvSpPr>
      <xdr:spPr>
        <a:xfrm>
          <a:off x="19742040" y="406080"/>
          <a:ext cx="1044000" cy="275040"/>
        </a:xfrm>
        <a:prstGeom prst="roundRect">
          <a:avLst>
            <a:gd name="adj" fmla="val 16667"/>
          </a:avLst>
        </a:prstGeom>
        <a:solidFill>
          <a:srgbClr val="920000"/>
        </a:solidFill>
        <a:ln w="12600">
          <a:solidFill>
            <a:srgbClr val="f2f2f2"/>
          </a:solidFill>
          <a:round/>
        </a:ln>
      </xdr:spPr>
      <xdr:style>
        <a:lnRef idx="0"/>
        <a:fillRef idx="0"/>
        <a:effectRef idx="0"/>
        <a:fontRef idx="minor"/>
      </xdr:style>
      <xdr:txBody>
        <a:bodyPr vertOverflow="clip" lIns="90000" rIns="90000" tIns="45000" bIns="45000" anchor="ctr">
          <a:noAutofit/>
        </a:bodyPr>
        <a:p>
          <a:pPr algn="ctr">
            <a:lnSpc>
              <a:spcPct val="100000"/>
            </a:lnSpc>
          </a:pPr>
          <a:r>
            <a:rPr b="1" lang="fr-FR" sz="1100" strike="noStrike" u="none">
              <a:solidFill>
                <a:schemeClr val="lt1">
                  <a:lumMod val="75000"/>
                </a:schemeClr>
              </a:solidFill>
              <a:effectLst/>
              <a:uFillTx/>
              <a:latin typeface="Candara"/>
            </a:rPr>
            <a:t>MDRA</a:t>
          </a:r>
          <a:endParaRPr b="0" lang="en-GB" sz="1100" strike="noStrike" u="none">
            <a:effectLst/>
            <a:uFillTx/>
            <a:latin typeface="Times New Roman"/>
          </a:endParaRPr>
        </a:p>
      </xdr:txBody>
    </xdr:sp>
    <xdr:clientData/>
  </xdr:twoCellAnchor>
  <xdr:twoCellAnchor editAs="twoCell">
    <xdr:from>
      <xdr:col>18</xdr:col>
      <xdr:colOff>1215360</xdr:colOff>
      <xdr:row>2</xdr:row>
      <xdr:rowOff>23760</xdr:rowOff>
    </xdr:from>
    <xdr:to>
      <xdr:col>19</xdr:col>
      <xdr:colOff>1140120</xdr:colOff>
      <xdr:row>3</xdr:row>
      <xdr:rowOff>123480</xdr:rowOff>
    </xdr:to>
    <xdr:sp>
      <xdr:nvSpPr>
        <xdr:cNvPr id="4" name="Rectangle : coins arrondis 10"/>
        <xdr:cNvSpPr/>
      </xdr:nvSpPr>
      <xdr:spPr>
        <a:xfrm>
          <a:off x="21534840" y="374400"/>
          <a:ext cx="1646640" cy="275040"/>
        </a:xfrm>
        <a:prstGeom prst="roundRect">
          <a:avLst>
            <a:gd name="adj" fmla="val 16667"/>
          </a:avLst>
        </a:prstGeom>
        <a:solidFill>
          <a:srgbClr val="920000"/>
        </a:solidFill>
        <a:ln w="12600">
          <a:solidFill>
            <a:srgbClr val="f2f2f2"/>
          </a:solidFill>
          <a:round/>
        </a:ln>
      </xdr:spPr>
      <xdr:style>
        <a:lnRef idx="0"/>
        <a:fillRef idx="0"/>
        <a:effectRef idx="0"/>
        <a:fontRef idx="minor"/>
      </xdr:style>
      <xdr:txBody>
        <a:bodyPr vertOverflow="clip" lIns="90000" rIns="90000" tIns="45000" bIns="45000" anchor="ctr">
          <a:noAutofit/>
        </a:bodyPr>
        <a:p>
          <a:pPr algn="ctr">
            <a:lnSpc>
              <a:spcPct val="100000"/>
            </a:lnSpc>
          </a:pPr>
          <a:r>
            <a:rPr b="1" lang="fr-FR" sz="1100" strike="noStrike" u="none">
              <a:solidFill>
                <a:schemeClr val="lt1">
                  <a:lumMod val="75000"/>
                </a:schemeClr>
              </a:solidFill>
              <a:effectLst/>
              <a:uFillTx/>
              <a:latin typeface="Candara"/>
            </a:rPr>
            <a:t>Layout</a:t>
          </a:r>
          <a:endParaRPr b="0" lang="en-GB" sz="1100" strike="noStrike" u="none">
            <a:effectLst/>
            <a:uFillTx/>
            <a:latin typeface="Times New Roman"/>
          </a:endParaRPr>
        </a:p>
      </xdr:txBody>
    </xdr:sp>
    <xdr:clientData/>
  </xdr:twoCellAnchor>
  <xdr:twoCellAnchor editAs="twoCell">
    <xdr:from>
      <xdr:col>23</xdr:col>
      <xdr:colOff>545040</xdr:colOff>
      <xdr:row>14</xdr:row>
      <xdr:rowOff>143280</xdr:rowOff>
    </xdr:from>
    <xdr:to>
      <xdr:col>23</xdr:col>
      <xdr:colOff>545040</xdr:colOff>
      <xdr:row>17</xdr:row>
      <xdr:rowOff>115200</xdr:rowOff>
    </xdr:to>
    <xdr:cxnSp>
      <xdr:nvCxnSpPr>
        <xdr:cNvPr id="5" name="Connecteur droit avec flèche 11"/>
        <xdr:cNvCxnSpPr/>
      </xdr:nvCxnSpPr>
      <xdr:spPr>
        <a:xfrm>
          <a:off x="29475000" y="2485080"/>
          <a:ext cx="360" cy="498240"/>
        </a:xfrm>
        <a:prstGeom prst="straightConnector1">
          <a:avLst/>
        </a:prstGeom>
        <a:ln w="19080">
          <a:solidFill>
            <a:srgbClr val="920000"/>
          </a:solidFill>
          <a:miter/>
          <a:tailEnd len="med" type="triangle" w="med"/>
        </a:ln>
      </xdr:spPr>
    </xdr:cxnSp>
    <xdr:clientData/>
  </xdr:twoCellAnchor>
  <xdr:twoCellAnchor editAs="twoCell">
    <xdr:from>
      <xdr:col>19</xdr:col>
      <xdr:colOff>345240</xdr:colOff>
      <xdr:row>16</xdr:row>
      <xdr:rowOff>14760</xdr:rowOff>
    </xdr:from>
    <xdr:to>
      <xdr:col>25</xdr:col>
      <xdr:colOff>204120</xdr:colOff>
      <xdr:row>29</xdr:row>
      <xdr:rowOff>167760</xdr:rowOff>
    </xdr:to>
    <xdr:sp>
      <xdr:nvSpPr>
        <xdr:cNvPr id="6" name="Rectangle 15"/>
        <xdr:cNvSpPr/>
      </xdr:nvSpPr>
      <xdr:spPr>
        <a:xfrm>
          <a:off x="22386600" y="2707200"/>
          <a:ext cx="10191600" cy="2431440"/>
        </a:xfrm>
        <a:prstGeom prst="rect">
          <a:avLst/>
        </a:prstGeom>
        <a:noFill/>
        <a:ln w="12600">
          <a:solidFill>
            <a:srgbClr val="808080"/>
          </a:solidFill>
          <a:prstDash val="sysDash"/>
          <a:miter/>
        </a:ln>
      </xdr:spPr>
      <xdr:style>
        <a:lnRef idx="0"/>
        <a:fillRef idx="0"/>
        <a:effectRef idx="0"/>
        <a:fontRef idx="minor"/>
      </xdr:style>
    </xdr:sp>
    <xdr:clientData/>
  </xdr:twoCellAnchor>
  <xdr:twoCellAnchor editAs="twoCell">
    <xdr:from>
      <xdr:col>19</xdr:col>
      <xdr:colOff>586080</xdr:colOff>
      <xdr:row>17</xdr:row>
      <xdr:rowOff>39240</xdr:rowOff>
    </xdr:from>
    <xdr:to>
      <xdr:col>21</xdr:col>
      <xdr:colOff>1230480</xdr:colOff>
      <xdr:row>18</xdr:row>
      <xdr:rowOff>65880</xdr:rowOff>
    </xdr:to>
    <xdr:sp>
      <xdr:nvSpPr>
        <xdr:cNvPr id="7" name="Rectangle 3"/>
        <xdr:cNvSpPr/>
      </xdr:nvSpPr>
      <xdr:spPr>
        <a:xfrm>
          <a:off x="22627440" y="2907000"/>
          <a:ext cx="4088880" cy="201960"/>
        </a:xfrm>
        <a:prstGeom prst="rect">
          <a:avLst/>
        </a:prstGeom>
        <a:solidFill>
          <a:srgbClr val="ffffff"/>
        </a:solidFill>
        <a:ln w="12600">
          <a:noFill/>
        </a:ln>
      </xdr:spPr>
      <xdr:style>
        <a:lnRef idx="0"/>
        <a:fillRef idx="0"/>
        <a:effectRef idx="0"/>
        <a:fontRef idx="minor"/>
      </xdr:style>
      <xdr:txBody>
        <a:bodyPr vertOverflow="clip" lIns="90000" rIns="90000" tIns="45000" bIns="45000" anchor="ctr">
          <a:noAutofit/>
        </a:bodyPr>
        <a:p>
          <a:pPr>
            <a:lnSpc>
              <a:spcPct val="100000"/>
            </a:lnSpc>
          </a:pPr>
          <a:r>
            <a:rPr b="0" i="1" lang="fr-FR" sz="1100" strike="noStrike" u="sng">
              <a:solidFill>
                <a:schemeClr val="dk1">
                  <a:lumMod val="75000"/>
                  <a:lumOff val="25000"/>
                </a:schemeClr>
              </a:solidFill>
              <a:effectLst/>
              <a:uFillTx/>
              <a:latin typeface="Calibri"/>
            </a:rPr>
            <a:t>Selected perimeter</a:t>
          </a:r>
          <a:endParaRPr b="0" lang="en-GB" sz="1100" strike="noStrike" u="none">
            <a:effectLst/>
            <a:uFillTx/>
            <a:latin typeface="Times New Roman"/>
          </a:endParaRPr>
        </a:p>
      </xdr:txBody>
    </xdr:sp>
    <xdr:clientData/>
  </xdr:twoCellAnchor>
  <xdr:twoCellAnchor editAs="oneCell">
    <xdr:from>
      <xdr:col>9</xdr:col>
      <xdr:colOff>1634760</xdr:colOff>
      <xdr:row>1</xdr:row>
      <xdr:rowOff>27360</xdr:rowOff>
    </xdr:from>
    <xdr:to>
      <xdr:col>11</xdr:col>
      <xdr:colOff>18360</xdr:colOff>
      <xdr:row>5</xdr:row>
      <xdr:rowOff>28440</xdr:rowOff>
    </xdr:to>
    <xdr:pic>
      <xdr:nvPicPr>
        <xdr:cNvPr id="8" name="Image 5" descr=""/>
        <xdr:cNvPicPr/>
      </xdr:nvPicPr>
      <xdr:blipFill>
        <a:blip r:embed="rId1"/>
        <a:stretch/>
      </xdr:blipFill>
      <xdr:spPr>
        <a:xfrm>
          <a:off x="10362240" y="202680"/>
          <a:ext cx="1374480" cy="702000"/>
        </a:xfrm>
        <a:prstGeom prst="rect">
          <a:avLst/>
        </a:prstGeom>
        <a:noFill/>
        <a:ln w="0">
          <a:noFill/>
        </a:ln>
      </xdr:spPr>
    </xdr:pic>
    <xdr:clientData/>
  </xdr:twoCellAnchor>
  <xdr:twoCellAnchor editAs="twoCell">
    <xdr:from>
      <xdr:col>15</xdr:col>
      <xdr:colOff>423360</xdr:colOff>
      <xdr:row>2</xdr:row>
      <xdr:rowOff>71280</xdr:rowOff>
    </xdr:from>
    <xdr:to>
      <xdr:col>15</xdr:col>
      <xdr:colOff>1427760</xdr:colOff>
      <xdr:row>3</xdr:row>
      <xdr:rowOff>171000</xdr:rowOff>
    </xdr:to>
    <xdr:sp>
      <xdr:nvSpPr>
        <xdr:cNvPr id="9" name="Rectangle : coins arrondis 4"/>
        <xdr:cNvSpPr/>
      </xdr:nvSpPr>
      <xdr:spPr>
        <a:xfrm>
          <a:off x="16351560" y="421920"/>
          <a:ext cx="1004400" cy="275040"/>
        </a:xfrm>
        <a:prstGeom prst="roundRect">
          <a:avLst>
            <a:gd name="adj" fmla="val 16667"/>
          </a:avLst>
        </a:prstGeom>
        <a:solidFill>
          <a:srgbClr val="920000"/>
        </a:solidFill>
        <a:ln w="12600">
          <a:solidFill>
            <a:srgbClr val="f2f2f2"/>
          </a:solidFill>
          <a:round/>
        </a:ln>
      </xdr:spPr>
      <xdr:style>
        <a:lnRef idx="0"/>
        <a:fillRef idx="0"/>
        <a:effectRef idx="0"/>
        <a:fontRef idx="minor"/>
      </xdr:style>
      <xdr:txBody>
        <a:bodyPr vertOverflow="clip" lIns="90000" rIns="90000" tIns="45000" bIns="45000" anchor="ctr">
          <a:noAutofit/>
        </a:bodyPr>
        <a:p>
          <a:pPr algn="ctr">
            <a:lnSpc>
              <a:spcPct val="100000"/>
            </a:lnSpc>
          </a:pPr>
          <a:r>
            <a:rPr b="1" lang="fr-FR" sz="1100" strike="noStrike" u="none">
              <a:solidFill>
                <a:schemeClr val="lt1">
                  <a:lumMod val="75000"/>
                </a:schemeClr>
              </a:solidFill>
              <a:effectLst/>
              <a:uFillTx/>
              <a:latin typeface="Candara"/>
            </a:rPr>
            <a:t>Sizing</a:t>
          </a:r>
          <a:endParaRPr b="0" lang="en-GB" sz="1100" strike="noStrike" u="none">
            <a:effectLst/>
            <a:uFillTx/>
            <a:latin typeface="Times New Roman"/>
          </a:endParaRPr>
        </a:p>
      </xdr:txBody>
    </xdr:sp>
    <xdr:clientData/>
  </xdr:twoCellAnchor>
  <xdr:twoCellAnchor editAs="twoCell">
    <xdr:from>
      <xdr:col>17</xdr:col>
      <xdr:colOff>19800</xdr:colOff>
      <xdr:row>2</xdr:row>
      <xdr:rowOff>58680</xdr:rowOff>
    </xdr:from>
    <xdr:to>
      <xdr:col>17</xdr:col>
      <xdr:colOff>1012320</xdr:colOff>
      <xdr:row>3</xdr:row>
      <xdr:rowOff>165600</xdr:rowOff>
    </xdr:to>
    <xdr:sp>
      <xdr:nvSpPr>
        <xdr:cNvPr id="10" name="Rectangle : coins arrondis 9"/>
        <xdr:cNvSpPr/>
      </xdr:nvSpPr>
      <xdr:spPr>
        <a:xfrm>
          <a:off x="18617040" y="409320"/>
          <a:ext cx="992520" cy="282240"/>
        </a:xfrm>
        <a:prstGeom prst="roundRect">
          <a:avLst>
            <a:gd name="adj" fmla="val 16667"/>
          </a:avLst>
        </a:prstGeom>
        <a:solidFill>
          <a:srgbClr val="920000"/>
        </a:solidFill>
        <a:ln w="12600">
          <a:solidFill>
            <a:srgbClr val="f2f2f2"/>
          </a:solidFill>
          <a:round/>
        </a:ln>
      </xdr:spPr>
      <xdr:style>
        <a:lnRef idx="0"/>
        <a:fillRef idx="0"/>
        <a:effectRef idx="0"/>
        <a:fontRef idx="minor"/>
      </xdr:style>
      <xdr:txBody>
        <a:bodyPr vertOverflow="clip" lIns="90000" rIns="90000" tIns="45000" bIns="45000" anchor="ctr">
          <a:noAutofit/>
        </a:bodyPr>
        <a:p>
          <a:pPr algn="ctr">
            <a:lnSpc>
              <a:spcPct val="100000"/>
            </a:lnSpc>
          </a:pPr>
          <a:r>
            <a:rPr b="1" lang="fr-FR" sz="1100" strike="noStrike" u="none">
              <a:solidFill>
                <a:schemeClr val="lt1">
                  <a:lumMod val="75000"/>
                </a:schemeClr>
              </a:solidFill>
              <a:effectLst/>
              <a:uFillTx/>
              <a:latin typeface="Candara"/>
            </a:rPr>
            <a:t>Sweep</a:t>
          </a:r>
          <a:endParaRPr b="0" lang="en-GB" sz="1100" strike="noStrike" u="none">
            <a:effectLst/>
            <a:uFillTx/>
            <a:latin typeface="Times New Roman"/>
          </a:endParaRPr>
        </a:p>
      </xdr:txBody>
    </xdr:sp>
    <xdr:clientData/>
  </xdr:twoCellAnchor>
  <xdr:twoCellAnchor editAs="twoCell">
    <xdr:from>
      <xdr:col>15</xdr:col>
      <xdr:colOff>1555920</xdr:colOff>
      <xdr:row>2</xdr:row>
      <xdr:rowOff>74520</xdr:rowOff>
    </xdr:from>
    <xdr:to>
      <xdr:col>16</xdr:col>
      <xdr:colOff>583920</xdr:colOff>
      <xdr:row>3</xdr:row>
      <xdr:rowOff>154080</xdr:rowOff>
    </xdr:to>
    <xdr:sp>
      <xdr:nvSpPr>
        <xdr:cNvPr id="11" name="Rectangle : coins arrondis 12"/>
        <xdr:cNvSpPr/>
      </xdr:nvSpPr>
      <xdr:spPr>
        <a:xfrm>
          <a:off x="17484120" y="425160"/>
          <a:ext cx="891360" cy="254880"/>
        </a:xfrm>
        <a:prstGeom prst="roundRect">
          <a:avLst>
            <a:gd name="adj" fmla="val 16667"/>
          </a:avLst>
        </a:prstGeom>
        <a:solidFill>
          <a:srgbClr val="920000"/>
        </a:solidFill>
        <a:ln w="12600">
          <a:solidFill>
            <a:srgbClr val="f2f2f2"/>
          </a:solidFill>
          <a:round/>
        </a:ln>
      </xdr:spPr>
      <xdr:style>
        <a:lnRef idx="0"/>
        <a:fillRef idx="0"/>
        <a:effectRef idx="0"/>
        <a:fontRef idx="minor"/>
      </xdr:style>
      <xdr:txBody>
        <a:bodyPr vertOverflow="clip" lIns="90000" rIns="90000" tIns="45000" bIns="45000" anchor="ctr">
          <a:noAutofit/>
        </a:bodyPr>
        <a:p>
          <a:pPr algn="ctr">
            <a:lnSpc>
              <a:spcPct val="100000"/>
            </a:lnSpc>
          </a:pPr>
          <a:r>
            <a:rPr b="1" lang="fr-FR" sz="1100" strike="noStrike" u="none">
              <a:solidFill>
                <a:schemeClr val="lt1">
                  <a:lumMod val="75000"/>
                </a:schemeClr>
              </a:solidFill>
              <a:effectLst/>
              <a:uFillTx/>
              <a:latin typeface="Candara"/>
            </a:rPr>
            <a:t>Sizing_To</a:t>
          </a:r>
          <a:r>
            <a:rPr b="1" lang="fr-FR" sz="1100" strike="noStrike" u="none">
              <a:solidFill>
                <a:schemeClr val="lt1">
                  <a:lumMod val="75000"/>
                </a:schemeClr>
              </a:solidFill>
              <a:effectLst/>
              <a:uFillTx/>
              <a:latin typeface="Candara"/>
            </a:rPr>
            <a:t>pUp</a:t>
          </a:r>
          <a:endParaRPr b="0" lang="en-GB" sz="1100" strike="noStrike" u="none">
            <a:effectLst/>
            <a:uFillTx/>
            <a:latin typeface="Times New Roman"/>
          </a:endParaRPr>
        </a:p>
      </xdr:txBody>
    </xdr:sp>
    <xdr:clientData/>
  </xdr:twoCellAnchor>
  <xdr:twoCellAnchor editAs="twoCell">
    <xdr:from>
      <xdr:col>33</xdr:col>
      <xdr:colOff>110880</xdr:colOff>
      <xdr:row>147</xdr:row>
      <xdr:rowOff>12600</xdr:rowOff>
    </xdr:from>
    <xdr:to>
      <xdr:col>36</xdr:col>
      <xdr:colOff>82800</xdr:colOff>
      <xdr:row>148</xdr:row>
      <xdr:rowOff>132840</xdr:rowOff>
    </xdr:to>
    <xdr:sp>
      <xdr:nvSpPr>
        <xdr:cNvPr id="12" name="Rectangle : coins arrondis 1"/>
        <xdr:cNvSpPr/>
      </xdr:nvSpPr>
      <xdr:spPr>
        <a:xfrm>
          <a:off x="40623120" y="25727400"/>
          <a:ext cx="1896120" cy="295560"/>
        </a:xfrm>
        <a:prstGeom prst="roundRect">
          <a:avLst>
            <a:gd name="adj" fmla="val 16667"/>
          </a:avLst>
        </a:prstGeom>
        <a:solidFill>
          <a:srgbClr val="920000"/>
        </a:solidFill>
        <a:ln w="12600">
          <a:solidFill>
            <a:srgbClr val="f2f2f2"/>
          </a:solidFill>
          <a:round/>
        </a:ln>
      </xdr:spPr>
      <xdr:style>
        <a:lnRef idx="0"/>
        <a:fillRef idx="0"/>
        <a:effectRef idx="0"/>
        <a:fontRef idx="minor"/>
      </xdr:style>
      <xdr:txBody>
        <a:bodyPr vertOverflow="clip" lIns="90000" rIns="90000" tIns="45000" bIns="45000" anchor="ctr">
          <a:noAutofit/>
        </a:bodyPr>
        <a:p>
          <a:pPr algn="ctr">
            <a:lnSpc>
              <a:spcPct val="100000"/>
            </a:lnSpc>
          </a:pPr>
          <a:r>
            <a:rPr b="1" lang="fr-FR" sz="1100" strike="noStrike" u="none">
              <a:solidFill>
                <a:schemeClr val="lt1">
                  <a:lumMod val="75000"/>
                </a:schemeClr>
              </a:solidFill>
              <a:effectLst/>
              <a:uFillTx/>
              <a:latin typeface="Candara"/>
            </a:rPr>
            <a:t>MDRA sweep sizing</a:t>
          </a:r>
          <a:endParaRPr b="0" lang="en-GB" sz="1100" strike="noStrike" u="none">
            <a:effectLst/>
            <a:uFillTx/>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1149480</xdr:colOff>
      <xdr:row>2</xdr:row>
      <xdr:rowOff>14400</xdr:rowOff>
    </xdr:from>
    <xdr:to>
      <xdr:col>2</xdr:col>
      <xdr:colOff>2673000</xdr:colOff>
      <xdr:row>3</xdr:row>
      <xdr:rowOff>143280</xdr:rowOff>
    </xdr:to>
    <xdr:sp>
      <xdr:nvSpPr>
        <xdr:cNvPr id="13" name="Rectangle : coins arrondis 5"/>
        <xdr:cNvSpPr/>
      </xdr:nvSpPr>
      <xdr:spPr>
        <a:xfrm>
          <a:off x="2961720" y="365040"/>
          <a:ext cx="1523520" cy="317880"/>
        </a:xfrm>
        <a:prstGeom prst="roundRect">
          <a:avLst>
            <a:gd name="adj" fmla="val 16667"/>
          </a:avLst>
        </a:prstGeom>
        <a:solidFill>
          <a:srgbClr val="920000"/>
        </a:solidFill>
        <a:ln w="12600">
          <a:solidFill>
            <a:srgbClr val="f2f2f2"/>
          </a:solidFill>
          <a:round/>
        </a:ln>
      </xdr:spPr>
      <xdr:style>
        <a:lnRef idx="0"/>
        <a:fillRef idx="0"/>
        <a:effectRef idx="0"/>
        <a:fontRef idx="minor"/>
      </xdr:style>
      <xdr:txBody>
        <a:bodyPr vertOverflow="clip" lIns="90000" rIns="90000" tIns="45000" bIns="45000" anchor="ctr">
          <a:noAutofit/>
        </a:bodyPr>
        <a:p>
          <a:pPr algn="ctr">
            <a:lnSpc>
              <a:spcPct val="100000"/>
            </a:lnSpc>
          </a:pPr>
          <a:r>
            <a:rPr b="1" lang="fr-FR" sz="1100" strike="noStrike" u="none">
              <a:solidFill>
                <a:schemeClr val="lt1">
                  <a:lumMod val="75000"/>
                </a:schemeClr>
              </a:solidFill>
              <a:effectLst/>
              <a:uFillTx/>
              <a:latin typeface="Candara"/>
            </a:rPr>
            <a:t>Vehicle selection</a:t>
          </a:r>
          <a:endParaRPr b="0" lang="en-GB" sz="1100" strike="noStrike" u="none">
            <a:effectLst/>
            <a:uFillTx/>
            <a:latin typeface="Times New Roman"/>
          </a:endParaRPr>
        </a:p>
      </xdr:txBody>
    </xdr:sp>
    <xdr:clientData/>
  </xdr:twoCellAnchor>
  <xdr:twoCellAnchor editAs="twoCell">
    <xdr:from>
      <xdr:col>3</xdr:col>
      <xdr:colOff>87120</xdr:colOff>
      <xdr:row>2</xdr:row>
      <xdr:rowOff>20160</xdr:rowOff>
    </xdr:from>
    <xdr:to>
      <xdr:col>6</xdr:col>
      <xdr:colOff>423000</xdr:colOff>
      <xdr:row>3</xdr:row>
      <xdr:rowOff>149400</xdr:rowOff>
    </xdr:to>
    <xdr:sp>
      <xdr:nvSpPr>
        <xdr:cNvPr id="14" name="Rectangle : coins arrondis 7"/>
        <xdr:cNvSpPr/>
      </xdr:nvSpPr>
      <xdr:spPr>
        <a:xfrm>
          <a:off x="4608360" y="370800"/>
          <a:ext cx="1555200" cy="318240"/>
        </a:xfrm>
        <a:prstGeom prst="roundRect">
          <a:avLst>
            <a:gd name="adj" fmla="val 16667"/>
          </a:avLst>
        </a:prstGeom>
        <a:solidFill>
          <a:srgbClr val="920000"/>
        </a:solidFill>
        <a:ln w="12600">
          <a:solidFill>
            <a:srgbClr val="f2f2f2"/>
          </a:solidFill>
          <a:round/>
        </a:ln>
      </xdr:spPr>
      <xdr:style>
        <a:lnRef idx="0"/>
        <a:fillRef idx="0"/>
        <a:effectRef idx="0"/>
        <a:fontRef idx="minor"/>
      </xdr:style>
      <xdr:txBody>
        <a:bodyPr vertOverflow="clip" lIns="90000" rIns="90000" tIns="45000" bIns="45000" anchor="ctr">
          <a:noAutofit/>
        </a:bodyPr>
        <a:p>
          <a:pPr algn="ctr">
            <a:lnSpc>
              <a:spcPct val="100000"/>
            </a:lnSpc>
          </a:pPr>
          <a:r>
            <a:rPr b="1" lang="fr-FR" sz="1100" strike="noStrike" u="none">
              <a:solidFill>
                <a:schemeClr val="lt1">
                  <a:lumMod val="75000"/>
                </a:schemeClr>
              </a:solidFill>
              <a:effectLst/>
              <a:uFillTx/>
              <a:latin typeface="Candara"/>
            </a:rPr>
            <a:t>Perimeter selection</a:t>
          </a:r>
          <a:endParaRPr b="0" lang="en-GB" sz="1100" strike="noStrike" u="non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Thème Office 2013 – 2022">
  <a:themeElements>
    <a:clrScheme name="Charte graphique MCA">
      <a:dk1>
        <a:srgbClr val="000000"/>
      </a:dk1>
      <a:lt1>
        <a:srgbClr val="ffffff"/>
      </a:lt1>
      <a:dk2>
        <a:srgbClr val="626260"/>
      </a:dk2>
      <a:lt2>
        <a:srgbClr val="d1d4de"/>
      </a:lt2>
      <a:accent1>
        <a:srgbClr val="72b8fe"/>
      </a:accent1>
      <a:accent2>
        <a:srgbClr val="ffff00"/>
      </a:accent2>
      <a:accent3>
        <a:srgbClr val="ef0037"/>
      </a:accent3>
      <a:accent4>
        <a:srgbClr val="306aff"/>
      </a:accent4>
      <a:accent5>
        <a:srgbClr val="f249a6"/>
      </a:accent5>
      <a:accent6>
        <a:srgbClr val="60ff91"/>
      </a:accent6>
      <a:hlink>
        <a:srgbClr val="467886"/>
      </a:hlink>
      <a:folHlink>
        <a:srgbClr val="96607d"/>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N62"/>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C22" activeCellId="0" sqref="C22"/>
    </sheetView>
  </sheetViews>
  <sheetFormatPr defaultColWidth="11.43359375" defaultRowHeight="12.8" customHeight="true" zeroHeight="false" outlineLevelRow="0" outlineLevelCol="0"/>
  <cols>
    <col collapsed="false" customWidth="true" hidden="false" outlineLevel="0" max="2" min="1" style="1" width="4.43"/>
    <col collapsed="false" customWidth="false" hidden="false" outlineLevel="0" max="14" min="3" style="1" width="11.43"/>
    <col collapsed="false" customWidth="false" hidden="true" outlineLevel="0" max="125" min="15" style="1" width="11.43"/>
    <col collapsed="false" customWidth="true" hidden="true" outlineLevel="0" max="164" min="126" style="1" width="11.53"/>
    <col collapsed="false" customWidth="false" hidden="true" outlineLevel="0" max="16384" min="165" style="1" width="11.43"/>
  </cols>
  <sheetData>
    <row r="1" customFormat="false" ht="13.8" hidden="false" customHeight="false" outlineLevel="0" collapsed="false">
      <c r="A1" s="2"/>
      <c r="B1" s="2"/>
      <c r="C1" s="2"/>
      <c r="D1" s="2"/>
      <c r="E1" s="2"/>
      <c r="F1" s="2"/>
      <c r="G1" s="2"/>
      <c r="H1" s="2"/>
      <c r="I1" s="2"/>
      <c r="J1" s="2"/>
      <c r="K1" s="2"/>
      <c r="L1" s="2"/>
      <c r="M1" s="2"/>
      <c r="N1" s="2"/>
    </row>
    <row r="2" customFormat="false" ht="13.8" hidden="false" customHeight="false" outlineLevel="0" collapsed="false">
      <c r="A2" s="2"/>
      <c r="B2" s="2"/>
      <c r="C2" s="2"/>
      <c r="D2" s="2"/>
      <c r="E2" s="2"/>
      <c r="F2" s="2"/>
      <c r="G2" s="2"/>
      <c r="H2" s="2"/>
      <c r="I2" s="2"/>
      <c r="J2" s="2"/>
      <c r="K2" s="2"/>
      <c r="L2" s="2"/>
      <c r="M2" s="2"/>
      <c r="N2" s="2"/>
    </row>
    <row r="3" customFormat="false" ht="13.8" hidden="false" customHeight="true" outlineLevel="0" collapsed="false">
      <c r="A3" s="2"/>
      <c r="B3" s="2"/>
      <c r="C3" s="3" t="s">
        <v>0</v>
      </c>
      <c r="D3" s="3"/>
      <c r="E3" s="3"/>
      <c r="F3" s="3"/>
      <c r="G3" s="3"/>
      <c r="H3" s="3"/>
      <c r="I3" s="3"/>
      <c r="J3" s="3"/>
      <c r="K3" s="3"/>
      <c r="L3" s="3"/>
      <c r="M3" s="3"/>
      <c r="N3" s="2"/>
    </row>
    <row r="4" customFormat="false" ht="13.8" hidden="false" customHeight="false" outlineLevel="0" collapsed="false">
      <c r="A4" s="2"/>
      <c r="B4" s="2"/>
      <c r="C4" s="3"/>
      <c r="D4" s="3"/>
      <c r="E4" s="3"/>
      <c r="F4" s="3"/>
      <c r="G4" s="3"/>
      <c r="H4" s="3"/>
      <c r="I4" s="3"/>
      <c r="J4" s="3"/>
      <c r="K4" s="3"/>
      <c r="L4" s="3"/>
      <c r="M4" s="3"/>
      <c r="N4" s="2"/>
    </row>
    <row r="5" customFormat="false" ht="13.8" hidden="false" customHeight="false" outlineLevel="0" collapsed="false">
      <c r="A5" s="2"/>
      <c r="B5" s="2"/>
      <c r="C5" s="3"/>
      <c r="D5" s="3"/>
      <c r="E5" s="3"/>
      <c r="F5" s="3"/>
      <c r="G5" s="3"/>
      <c r="H5" s="3"/>
      <c r="I5" s="3"/>
      <c r="J5" s="3"/>
      <c r="K5" s="3"/>
      <c r="L5" s="3"/>
      <c r="M5" s="3"/>
      <c r="N5" s="2"/>
    </row>
    <row r="6" customFormat="false" ht="13.8" hidden="false" customHeight="false" outlineLevel="0" collapsed="false">
      <c r="A6" s="2"/>
      <c r="B6" s="2"/>
      <c r="C6" s="3"/>
      <c r="D6" s="3"/>
      <c r="E6" s="3"/>
      <c r="F6" s="3"/>
      <c r="G6" s="3"/>
      <c r="H6" s="3"/>
      <c r="I6" s="3"/>
      <c r="J6" s="3"/>
      <c r="K6" s="3"/>
      <c r="L6" s="3"/>
      <c r="M6" s="3"/>
      <c r="N6" s="2"/>
    </row>
    <row r="7" customFormat="false" ht="13.8" hidden="false" customHeight="false" outlineLevel="0" collapsed="false">
      <c r="A7" s="2"/>
      <c r="B7" s="2"/>
      <c r="C7" s="3"/>
      <c r="D7" s="3"/>
      <c r="E7" s="3"/>
      <c r="F7" s="3"/>
      <c r="G7" s="3"/>
      <c r="H7" s="3"/>
      <c r="I7" s="3"/>
      <c r="J7" s="3"/>
      <c r="K7" s="3"/>
      <c r="L7" s="3"/>
      <c r="M7" s="3"/>
      <c r="N7" s="2"/>
    </row>
    <row r="8" customFormat="false" ht="13.8" hidden="false" customHeight="false" outlineLevel="0" collapsed="false">
      <c r="A8" s="2"/>
      <c r="B8" s="2"/>
      <c r="C8" s="3"/>
      <c r="D8" s="3"/>
      <c r="E8" s="3"/>
      <c r="F8" s="3"/>
      <c r="G8" s="3"/>
      <c r="H8" s="3"/>
      <c r="I8" s="3"/>
      <c r="J8" s="3"/>
      <c r="K8" s="3"/>
      <c r="L8" s="3"/>
      <c r="M8" s="3"/>
      <c r="N8" s="2"/>
    </row>
    <row r="9" customFormat="false" ht="13.8" hidden="false" customHeight="false" outlineLevel="0" collapsed="false">
      <c r="A9" s="2"/>
      <c r="B9" s="2"/>
      <c r="C9" s="3"/>
      <c r="D9" s="3"/>
      <c r="E9" s="3"/>
      <c r="F9" s="3"/>
      <c r="G9" s="3"/>
      <c r="H9" s="3"/>
      <c r="I9" s="3"/>
      <c r="J9" s="3"/>
      <c r="K9" s="3"/>
      <c r="L9" s="3"/>
      <c r="M9" s="3"/>
      <c r="N9" s="2"/>
    </row>
    <row r="10" customFormat="false" ht="13.8" hidden="false" customHeight="false" outlineLevel="0" collapsed="false">
      <c r="A10" s="2"/>
      <c r="B10" s="2"/>
      <c r="C10" s="3"/>
      <c r="D10" s="3"/>
      <c r="E10" s="3"/>
      <c r="F10" s="3"/>
      <c r="G10" s="3"/>
      <c r="H10" s="3"/>
      <c r="I10" s="3"/>
      <c r="J10" s="3"/>
      <c r="K10" s="3"/>
      <c r="L10" s="3"/>
      <c r="M10" s="3"/>
      <c r="N10" s="2"/>
    </row>
    <row r="11" customFormat="false" ht="13.8" hidden="false" customHeight="false" outlineLevel="0" collapsed="false">
      <c r="A11" s="2"/>
      <c r="B11" s="2"/>
      <c r="C11" s="3"/>
      <c r="D11" s="3"/>
      <c r="E11" s="3"/>
      <c r="F11" s="3"/>
      <c r="G11" s="3"/>
      <c r="H11" s="3"/>
      <c r="I11" s="3"/>
      <c r="J11" s="3"/>
      <c r="K11" s="3"/>
      <c r="L11" s="3"/>
      <c r="M11" s="3"/>
      <c r="N11" s="2"/>
    </row>
    <row r="12" customFormat="false" ht="13.8" hidden="false" customHeight="false" outlineLevel="0" collapsed="false">
      <c r="A12" s="2"/>
      <c r="B12" s="2"/>
      <c r="C12" s="3"/>
      <c r="D12" s="3"/>
      <c r="E12" s="3"/>
      <c r="F12" s="3"/>
      <c r="G12" s="3"/>
      <c r="H12" s="3"/>
      <c r="I12" s="3"/>
      <c r="J12" s="3"/>
      <c r="K12" s="3"/>
      <c r="L12" s="3"/>
      <c r="M12" s="3"/>
      <c r="N12" s="2"/>
    </row>
    <row r="13" customFormat="false" ht="13.8" hidden="false" customHeight="false" outlineLevel="0" collapsed="false">
      <c r="A13" s="2"/>
      <c r="B13" s="2"/>
      <c r="C13" s="3"/>
      <c r="D13" s="3"/>
      <c r="E13" s="3"/>
      <c r="F13" s="3"/>
      <c r="G13" s="3"/>
      <c r="H13" s="3"/>
      <c r="I13" s="3"/>
      <c r="J13" s="3"/>
      <c r="K13" s="3"/>
      <c r="L13" s="3"/>
      <c r="M13" s="3"/>
      <c r="N13" s="2"/>
    </row>
    <row r="14" customFormat="false" ht="13.8" hidden="false" customHeight="false" outlineLevel="0" collapsed="false">
      <c r="A14" s="2"/>
      <c r="B14" s="2"/>
      <c r="C14" s="3"/>
      <c r="D14" s="3"/>
      <c r="E14" s="3"/>
      <c r="F14" s="3"/>
      <c r="G14" s="3"/>
      <c r="H14" s="3"/>
      <c r="I14" s="3"/>
      <c r="J14" s="3"/>
      <c r="K14" s="3"/>
      <c r="L14" s="3"/>
      <c r="M14" s="3"/>
      <c r="N14" s="2"/>
    </row>
    <row r="15" customFormat="false" ht="13.8" hidden="false" customHeight="false" outlineLevel="0" collapsed="false">
      <c r="A15" s="2"/>
      <c r="B15" s="2"/>
      <c r="C15" s="3"/>
      <c r="D15" s="3"/>
      <c r="E15" s="3"/>
      <c r="F15" s="3"/>
      <c r="G15" s="3"/>
      <c r="H15" s="3"/>
      <c r="I15" s="3"/>
      <c r="J15" s="3"/>
      <c r="K15" s="3"/>
      <c r="L15" s="3"/>
      <c r="M15" s="3"/>
      <c r="N15" s="2"/>
    </row>
    <row r="16" customFormat="false" ht="13.8" hidden="false" customHeight="false" outlineLevel="0" collapsed="false">
      <c r="A16" s="2"/>
      <c r="B16" s="2"/>
      <c r="C16" s="3"/>
      <c r="D16" s="3"/>
      <c r="E16" s="3"/>
      <c r="F16" s="3"/>
      <c r="G16" s="3"/>
      <c r="H16" s="3"/>
      <c r="I16" s="3"/>
      <c r="J16" s="3"/>
      <c r="K16" s="3"/>
      <c r="L16" s="3"/>
      <c r="M16" s="3"/>
      <c r="N16" s="2"/>
    </row>
    <row r="17" customFormat="false" ht="13.8" hidden="false" customHeight="false" outlineLevel="0" collapsed="false">
      <c r="A17" s="2"/>
      <c r="B17" s="2"/>
      <c r="C17" s="3"/>
      <c r="D17" s="3"/>
      <c r="E17" s="3"/>
      <c r="F17" s="3"/>
      <c r="G17" s="3"/>
      <c r="H17" s="3"/>
      <c r="I17" s="3"/>
      <c r="J17" s="3"/>
      <c r="K17" s="3"/>
      <c r="L17" s="3"/>
      <c r="M17" s="3"/>
      <c r="N17" s="2"/>
    </row>
    <row r="18" customFormat="false" ht="13.8" hidden="false" customHeight="false" outlineLevel="0" collapsed="false">
      <c r="A18" s="2"/>
      <c r="B18" s="2"/>
      <c r="C18" s="3"/>
      <c r="D18" s="3"/>
      <c r="E18" s="3"/>
      <c r="F18" s="3"/>
      <c r="G18" s="3"/>
      <c r="H18" s="3"/>
      <c r="I18" s="3"/>
      <c r="J18" s="3"/>
      <c r="K18" s="3"/>
      <c r="L18" s="3"/>
      <c r="M18" s="3"/>
      <c r="N18" s="2"/>
    </row>
    <row r="19" customFormat="false" ht="13.8" hidden="false" customHeight="false" outlineLevel="0" collapsed="false">
      <c r="A19" s="2"/>
      <c r="B19" s="2"/>
      <c r="C19" s="3"/>
      <c r="D19" s="3"/>
      <c r="E19" s="3"/>
      <c r="F19" s="3"/>
      <c r="G19" s="3"/>
      <c r="H19" s="3"/>
      <c r="I19" s="3"/>
      <c r="J19" s="3"/>
      <c r="K19" s="3"/>
      <c r="L19" s="3"/>
      <c r="M19" s="3"/>
      <c r="N19" s="2"/>
    </row>
    <row r="20" customFormat="false" ht="13.8" hidden="false" customHeight="false" outlineLevel="0" collapsed="false">
      <c r="A20" s="2"/>
      <c r="B20" s="2"/>
      <c r="C20" s="3"/>
      <c r="D20" s="3"/>
      <c r="E20" s="3"/>
      <c r="F20" s="3"/>
      <c r="G20" s="3"/>
      <c r="H20" s="3"/>
      <c r="I20" s="3"/>
      <c r="J20" s="3"/>
      <c r="K20" s="3"/>
      <c r="L20" s="3"/>
      <c r="M20" s="3"/>
      <c r="N20" s="2"/>
    </row>
    <row r="21" customFormat="false" ht="13.8" hidden="false" customHeight="false" outlineLevel="0" collapsed="false">
      <c r="A21" s="2"/>
      <c r="B21" s="2"/>
      <c r="C21" s="3"/>
      <c r="D21" s="3"/>
      <c r="E21" s="3"/>
      <c r="F21" s="3"/>
      <c r="G21" s="3"/>
      <c r="H21" s="3"/>
      <c r="I21" s="3"/>
      <c r="J21" s="3"/>
      <c r="K21" s="3"/>
      <c r="L21" s="3"/>
      <c r="M21" s="3"/>
      <c r="N21" s="2"/>
    </row>
    <row r="22" customFormat="false" ht="13.8" hidden="false" customHeight="false" outlineLevel="0" collapsed="false">
      <c r="A22" s="2"/>
      <c r="B22" s="2"/>
      <c r="C22" s="2"/>
      <c r="D22" s="2"/>
      <c r="E22" s="2"/>
      <c r="F22" s="2"/>
      <c r="G22" s="2"/>
      <c r="H22" s="2"/>
      <c r="I22" s="2"/>
      <c r="J22" s="2"/>
      <c r="K22" s="2"/>
      <c r="L22" s="2"/>
      <c r="M22" s="2"/>
      <c r="N22" s="2"/>
    </row>
    <row r="23" customFormat="false" ht="13.8" hidden="false" customHeight="false" outlineLevel="0" collapsed="false">
      <c r="A23" s="2"/>
      <c r="B23" s="2"/>
      <c r="C23" s="2"/>
      <c r="D23" s="2"/>
      <c r="E23" s="2"/>
      <c r="F23" s="2"/>
      <c r="G23" s="2"/>
      <c r="H23" s="2"/>
      <c r="I23" s="2"/>
      <c r="J23" s="2"/>
      <c r="K23" s="2"/>
      <c r="L23" s="2"/>
      <c r="M23" s="2"/>
      <c r="N23" s="2"/>
    </row>
    <row r="24" customFormat="false" ht="13.8" hidden="true" customHeight="false" outlineLevel="0" collapsed="false"/>
    <row r="25" customFormat="false" ht="13.8" hidden="true" customHeight="false" outlineLevel="0" collapsed="false"/>
    <row r="26" customFormat="false" ht="13.8" hidden="true" customHeight="false" outlineLevel="0" collapsed="false"/>
    <row r="27" customFormat="false" ht="13.8" hidden="true" customHeight="false" outlineLevel="0" collapsed="false"/>
    <row r="28" customFormat="false" ht="13.8" hidden="true" customHeight="false" outlineLevel="0" collapsed="false"/>
    <row r="29" customFormat="false" ht="13.8" hidden="true" customHeight="false" outlineLevel="0" collapsed="false"/>
    <row r="30" customFormat="false" ht="13.8" hidden="true" customHeight="false" outlineLevel="0" collapsed="false"/>
    <row r="31" customFormat="false" ht="13.8" hidden="true" customHeight="false" outlineLevel="0" collapsed="false"/>
    <row r="32" customFormat="false" ht="13.8" hidden="true" customHeight="false" outlineLevel="0" collapsed="false"/>
    <row r="33" customFormat="false" ht="13.8" hidden="true" customHeight="false" outlineLevel="0" collapsed="false"/>
    <row r="34" customFormat="false" ht="13.8" hidden="true" customHeight="false" outlineLevel="0" collapsed="false"/>
    <row r="35" customFormat="false" ht="13.8" hidden="true" customHeight="false" outlineLevel="0" collapsed="false"/>
    <row r="36" customFormat="false" ht="13.8" hidden="true" customHeight="false" outlineLevel="0" collapsed="false"/>
    <row r="37" customFormat="false" ht="13.8" hidden="true" customHeight="false" outlineLevel="0" collapsed="false"/>
    <row r="38" customFormat="false" ht="13.8" hidden="true" customHeight="false" outlineLevel="0" collapsed="false"/>
    <row r="39" customFormat="false" ht="13.8" hidden="true" customHeight="false" outlineLevel="0" collapsed="false"/>
    <row r="40" customFormat="false" ht="13.8" hidden="true" customHeight="false" outlineLevel="0" collapsed="false"/>
    <row r="41" customFormat="false" ht="13.8" hidden="true" customHeight="false" outlineLevel="0" collapsed="false"/>
    <row r="42" customFormat="false" ht="13.8" hidden="true" customHeight="false" outlineLevel="0" collapsed="false"/>
    <row r="43" customFormat="false" ht="13.8" hidden="true" customHeight="false" outlineLevel="0" collapsed="false"/>
    <row r="44" customFormat="false" ht="13.8" hidden="true" customHeight="false" outlineLevel="0" collapsed="false"/>
    <row r="45" customFormat="false" ht="13.8" hidden="true" customHeight="false" outlineLevel="0" collapsed="false"/>
    <row r="46" customFormat="false" ht="13.8" hidden="true" customHeight="false" outlineLevel="0" collapsed="false"/>
    <row r="47" customFormat="false" ht="13.8" hidden="true" customHeight="false" outlineLevel="0" collapsed="false"/>
    <row r="48" customFormat="false" ht="13.8" hidden="true" customHeight="false" outlineLevel="0" collapsed="false"/>
    <row r="49" customFormat="false" ht="13.8" hidden="true" customHeight="false" outlineLevel="0" collapsed="false"/>
    <row r="50" customFormat="false" ht="13.8" hidden="true" customHeight="false" outlineLevel="0" collapsed="false"/>
    <row r="51" customFormat="false" ht="13.8" hidden="true" customHeight="false" outlineLevel="0" collapsed="false"/>
    <row r="52" customFormat="false" ht="13.8" hidden="true" customHeight="false" outlineLevel="0" collapsed="false"/>
    <row r="53" customFormat="false" ht="13.8" hidden="true" customHeight="false" outlineLevel="0" collapsed="false"/>
    <row r="54" customFormat="false" ht="13.8" hidden="true" customHeight="false" outlineLevel="0" collapsed="false"/>
    <row r="55" customFormat="false" ht="13.8" hidden="true" customHeight="false" outlineLevel="0" collapsed="false"/>
    <row r="56" customFormat="false" ht="13.8" hidden="true" customHeight="false" outlineLevel="0" collapsed="false"/>
    <row r="57" customFormat="false" ht="13.8" hidden="true" customHeight="false" outlineLevel="0" collapsed="false"/>
    <row r="58" customFormat="false" ht="13.8" hidden="true" customHeight="false" outlineLevel="0" collapsed="false"/>
    <row r="59" customFormat="false" ht="13.8" hidden="true" customHeight="false" outlineLevel="0" collapsed="false"/>
    <row r="60" customFormat="false" ht="13.8" hidden="true" customHeight="false" outlineLevel="0" collapsed="false"/>
    <row r="61" customFormat="false" ht="13.8" hidden="true" customHeight="false" outlineLevel="0" collapsed="false"/>
    <row r="62" customFormat="false" ht="13.8" hidden="true" customHeight="false" outlineLevel="0" collapsed="false"/>
  </sheetData>
  <mergeCells count="1">
    <mergeCell ref="C3:M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AJ1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122" activePane="bottomRight" state="frozen"/>
      <selection pane="topLeft" activeCell="A1" activeCellId="0" sqref="A1"/>
      <selection pane="topRight" activeCell="B1" activeCellId="0" sqref="B1"/>
      <selection pane="bottomLeft" activeCell="A122" activeCellId="0" sqref="A122"/>
      <selection pane="bottomRight" activeCell="A122" activeCellId="0" sqref="A122"/>
    </sheetView>
  </sheetViews>
  <sheetFormatPr defaultColWidth="11.43359375" defaultRowHeight="12.8" customHeight="true" zeroHeight="false" outlineLevelRow="0" outlineLevelCol="0"/>
  <cols>
    <col collapsed="false" customWidth="true" hidden="false" outlineLevel="0" max="1" min="1" style="4" width="21.14"/>
    <col collapsed="false" customWidth="true" hidden="false" outlineLevel="0" max="2" min="2" style="5" width="7.65"/>
    <col collapsed="false" customWidth="true" hidden="false" outlineLevel="0" max="3" min="3" style="5" width="4.43"/>
    <col collapsed="false" customWidth="true" hidden="false" outlineLevel="0" max="4" min="4" style="5" width="36.43"/>
    <col collapsed="false" customWidth="true" hidden="false" outlineLevel="0" max="8" min="5" style="5" width="12.43"/>
    <col collapsed="false" customWidth="true" hidden="false" outlineLevel="0" max="9" min="9" style="5" width="4.43"/>
    <col collapsed="false" customWidth="true" hidden="false" outlineLevel="0" max="10" min="10" style="5" width="36.43"/>
    <col collapsed="false" customWidth="true" hidden="false" outlineLevel="0" max="11" min="11" style="5" width="6"/>
    <col collapsed="false" customWidth="true" hidden="false" outlineLevel="0" max="12" min="12" style="5" width="24.43"/>
    <col collapsed="false" customWidth="true" hidden="false" outlineLevel="0" max="14" min="14" style="5" width="12.43"/>
    <col collapsed="false" customWidth="true" hidden="false" outlineLevel="0" max="16" min="16" style="5" width="26.43"/>
    <col collapsed="false" customWidth="true" hidden="false" outlineLevel="0" max="25" min="18" style="5" width="24.43"/>
    <col collapsed="false" customWidth="true" hidden="false" outlineLevel="0" max="27" min="27" style="5" width="19.43"/>
    <col collapsed="false" customWidth="true" hidden="false" outlineLevel="0" max="29" min="29" style="5" width="15.43"/>
    <col collapsed="false" customWidth="true" hidden="false" outlineLevel="0" max="30" min="30" style="5" width="13.43"/>
    <col collapsed="false" customWidth="true" hidden="false" outlineLevel="0" max="31" min="31" style="5" width="19.43"/>
    <col collapsed="false" customWidth="true" hidden="false" outlineLevel="0" max="33" min="32" style="5" width="12.43"/>
    <col collapsed="false" customWidth="true" hidden="false" outlineLevel="0" max="34" min="34" style="5" width="15.43"/>
    <col collapsed="false" customWidth="true" hidden="false" outlineLevel="0" max="36" min="36" style="5" width="0.43"/>
    <col collapsed="false" customWidth="true" hidden="false" outlineLevel="0" max="37" min="37" style="5" width="11.57"/>
    <col collapsed="false" customWidth="true" hidden="true" outlineLevel="0" max="38" min="38" style="5" width="12"/>
    <col collapsed="false" customWidth="false" hidden="true" outlineLevel="0" max="16384" min="39" style="5" width="11.43"/>
  </cols>
  <sheetData>
    <row r="1" customFormat="false" ht="13.8" hidden="false" customHeight="false" outlineLevel="0" collapsed="false">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customFormat="false" ht="13.8" hidden="false" customHeight="false" outlineLevel="0" collapsed="false">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customFormat="false" ht="13.8" hidden="false" customHeight="false" outlineLevel="0" collapsed="false">
      <c r="B3" s="2"/>
      <c r="C3" s="2"/>
      <c r="D3" s="6" t="s">
        <v>1</v>
      </c>
      <c r="E3" s="2"/>
      <c r="F3" s="2"/>
      <c r="G3" s="2"/>
      <c r="H3" s="2"/>
      <c r="I3" s="2"/>
      <c r="J3" s="2"/>
      <c r="K3" s="2"/>
      <c r="L3" s="2"/>
      <c r="M3" s="7" t="s">
        <v>2</v>
      </c>
      <c r="N3" s="8" t="s">
        <v>3</v>
      </c>
      <c r="O3" s="8" t="s">
        <v>4</v>
      </c>
      <c r="P3" s="2"/>
      <c r="Q3" s="2"/>
      <c r="R3" s="2"/>
      <c r="S3" s="2"/>
      <c r="T3" s="2"/>
      <c r="U3" s="2"/>
      <c r="V3" s="2"/>
      <c r="W3" s="2"/>
      <c r="X3" s="2"/>
      <c r="Y3" s="2"/>
      <c r="Z3" s="2"/>
      <c r="AA3" s="2"/>
      <c r="AB3" s="2"/>
      <c r="AC3" s="2"/>
      <c r="AD3" s="2"/>
      <c r="AE3" s="2"/>
      <c r="AF3" s="2"/>
      <c r="AG3" s="2"/>
      <c r="AH3" s="2"/>
      <c r="AI3" s="2"/>
      <c r="AJ3" s="2"/>
    </row>
    <row r="4" customFormat="false" ht="13.8" hidden="false" customHeight="false" outlineLevel="0" collapsed="false">
      <c r="B4" s="2"/>
      <c r="C4" s="2"/>
      <c r="D4" s="6"/>
      <c r="E4" s="2"/>
      <c r="F4" s="2"/>
      <c r="G4" s="2"/>
      <c r="H4" s="2"/>
      <c r="I4" s="2"/>
      <c r="J4" s="2"/>
      <c r="K4" s="2"/>
      <c r="L4" s="2"/>
      <c r="M4" s="9" t="e">
        <f aca="false">Calage</f>
        <v>#REF!</v>
      </c>
      <c r="N4" s="10" t="e">
        <f aca="false">#REF!</f>
        <v>#REF!</v>
      </c>
      <c r="O4" s="9" t="e">
        <f aca="false">Master_check</f>
        <v>#REF!</v>
      </c>
      <c r="P4" s="2"/>
      <c r="Q4" s="2"/>
      <c r="R4" s="2"/>
      <c r="S4" s="2"/>
      <c r="T4" s="2"/>
      <c r="U4" s="2"/>
      <c r="V4" s="2"/>
      <c r="W4" s="2"/>
      <c r="X4" s="2"/>
      <c r="Y4" s="2"/>
      <c r="Z4" s="2"/>
      <c r="AA4" s="2"/>
      <c r="AB4" s="2"/>
      <c r="AC4" s="2"/>
      <c r="AD4" s="2"/>
      <c r="AE4" s="2"/>
      <c r="AF4" s="2"/>
      <c r="AG4" s="2"/>
      <c r="AH4" s="2"/>
      <c r="AI4" s="2"/>
      <c r="AJ4" s="2"/>
    </row>
    <row r="5" customFormat="false" ht="13.8" hidden="false" customHeight="false" outlineLevel="0" collapsed="false">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row>
    <row r="6" customFormat="false" ht="13.8" hidden="false" customHeight="false" outlineLevel="0" collapsed="false">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customFormat="false" ht="12.8" hidden="false" customHeight="false" outlineLevel="0" collapsed="false">
      <c r="B7" s="11"/>
      <c r="C7" s="11" t="n">
        <v>1</v>
      </c>
      <c r="D7" s="11" t="s">
        <v>5</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row>
    <row r="8" customFormat="false" ht="13.8" hidden="false" customHeight="false" outlineLevel="0" collapsed="false">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customFormat="false" ht="6" hidden="false" customHeight="true" outlineLevel="0" collapsed="false">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row>
    <row r="10" customFormat="false" ht="13.8" hidden="false" customHeight="false" outlineLevel="0" collapsed="false">
      <c r="B10" s="12"/>
      <c r="C10" s="1"/>
      <c r="D10" s="1"/>
      <c r="E10" s="1"/>
      <c r="F10" s="1"/>
      <c r="G10" s="1"/>
      <c r="H10" s="1"/>
      <c r="I10" s="1"/>
      <c r="L10" s="1"/>
      <c r="O10" s="1"/>
      <c r="P10" s="1"/>
      <c r="Q10" s="1"/>
      <c r="R10" s="1"/>
      <c r="S10" s="1"/>
      <c r="T10" s="1"/>
      <c r="AB10" s="1"/>
      <c r="AC10" s="1"/>
      <c r="AD10" s="1"/>
      <c r="AE10" s="1"/>
      <c r="AF10" s="1"/>
      <c r="AG10" s="1"/>
      <c r="AH10" s="1"/>
      <c r="AI10" s="1"/>
      <c r="AJ10" s="12"/>
    </row>
    <row r="11" customFormat="false" ht="13.8" hidden="false" customHeight="false" outlineLevel="0" collapsed="false">
      <c r="B11" s="12"/>
      <c r="C11" s="1"/>
      <c r="D11" s="6" t="s">
        <v>6</v>
      </c>
      <c r="E11" s="1"/>
      <c r="F11" s="1"/>
      <c r="G11" s="1"/>
      <c r="H11" s="1"/>
      <c r="I11" s="1"/>
      <c r="L11" s="1"/>
      <c r="O11" s="1"/>
      <c r="P11" s="6" t="s">
        <v>7</v>
      </c>
      <c r="Q11" s="1"/>
      <c r="R11" s="1"/>
      <c r="S11" s="1"/>
      <c r="T11" s="1"/>
      <c r="Z11" s="1"/>
      <c r="AA11" s="1"/>
      <c r="AB11" s="1"/>
      <c r="AC11" s="1"/>
      <c r="AD11" s="1"/>
      <c r="AE11" s="1"/>
      <c r="AF11" s="1"/>
      <c r="AG11" s="1"/>
      <c r="AH11" s="1"/>
      <c r="AI11" s="1"/>
      <c r="AJ11" s="12"/>
    </row>
    <row r="12" customFormat="false" ht="13.8" hidden="false" customHeight="false" outlineLevel="0" collapsed="false">
      <c r="B12" s="12"/>
      <c r="C12" s="1"/>
      <c r="O12" s="1"/>
      <c r="X12" s="13" t="e">
        <f aca="false">IF(INDEX(#REF!,,#REF!)=1,"n/a",INDEX(#REF!,,INDEX(#REF!,,ref_Vehicle)))</f>
        <v>#REF!</v>
      </c>
      <c r="Z12" s="1"/>
      <c r="AA12" s="1"/>
      <c r="AB12" s="1"/>
      <c r="AC12" s="1"/>
      <c r="AD12" s="1"/>
      <c r="AE12" s="1"/>
      <c r="AF12" s="1"/>
      <c r="AG12" s="1"/>
      <c r="AH12" s="1"/>
      <c r="AI12" s="1"/>
      <c r="AJ12" s="12"/>
    </row>
    <row r="13" customFormat="false" ht="13.8" hidden="false" customHeight="false" outlineLevel="0" collapsed="false">
      <c r="B13" s="12"/>
      <c r="C13" s="1"/>
      <c r="D13" s="14" t="s">
        <v>8</v>
      </c>
      <c r="E13" s="1"/>
      <c r="F13" s="1"/>
      <c r="G13" s="1"/>
      <c r="H13" s="1"/>
      <c r="I13" s="1"/>
      <c r="J13" s="14" t="s">
        <v>9</v>
      </c>
      <c r="K13" s="1"/>
      <c r="L13" s="1"/>
      <c r="O13" s="1"/>
      <c r="P13" s="1" t="s">
        <v>10</v>
      </c>
      <c r="Q13" s="1"/>
      <c r="R13" s="15" t="s">
        <v>11</v>
      </c>
      <c r="S13" s="16" t="e">
        <f aca="false">INDEX(#REF!,,ref_Vehicle)</f>
        <v>#REF!</v>
      </c>
      <c r="X13" s="13"/>
      <c r="Z13" s="17"/>
      <c r="AA13" s="17"/>
      <c r="AB13" s="17"/>
      <c r="AC13" s="17"/>
      <c r="AD13" s="17"/>
      <c r="AE13" s="17"/>
      <c r="AF13" s="17"/>
      <c r="AG13" s="17"/>
      <c r="AH13" s="17"/>
      <c r="AI13" s="17"/>
      <c r="AJ13" s="12"/>
    </row>
    <row r="14" customFormat="false" ht="13.8" hidden="false" customHeight="false" outlineLevel="0" collapsed="false">
      <c r="B14" s="12"/>
      <c r="C14" s="1"/>
      <c r="D14" s="1" t="e">
        <f aca="false">#REF!&amp;", of which :"</f>
        <v>#REF!</v>
      </c>
      <c r="E14" s="1"/>
      <c r="F14" s="15" t="s">
        <v>12</v>
      </c>
      <c r="G14" s="16" t="e">
        <f aca="false" t="array" ref="G14:G14">SUM((#REF!=ref_Vehicle)*(IF(Phase&lt;&gt;9,Phase_Asset=Phase,1))*(#REF!)*(#REF!&lt;&gt;0))</f>
        <v>#REF!</v>
      </c>
      <c r="H14" s="18" t="e">
        <f aca="false">IF($G$32=0,0,G14/$G$32)</f>
        <v>#REF!</v>
      </c>
      <c r="I14" s="1"/>
      <c r="J14" s="1" t="s">
        <v>13</v>
      </c>
      <c r="K14" s="1"/>
      <c r="L14" s="15" t="s">
        <v>12</v>
      </c>
      <c r="M14" s="16" t="e">
        <f aca="false">#REF!</f>
        <v>#REF!</v>
      </c>
      <c r="N14" s="18" t="e">
        <f aca="false">IF($M$32=0,0,M14/$M$32)</f>
        <v>#REF!</v>
      </c>
      <c r="O14" s="1"/>
      <c r="P14" s="19" t="s">
        <v>14</v>
      </c>
      <c r="Q14" s="1"/>
      <c r="R14" s="15" t="s">
        <v>11</v>
      </c>
      <c r="S14" s="20" t="e">
        <f aca="false">INDEX(#REF!,,ref_Vehicle)*#REF!</f>
        <v>#REF!</v>
      </c>
      <c r="X14" s="13"/>
      <c r="Z14" s="17"/>
      <c r="AA14" s="17"/>
      <c r="AB14" s="17"/>
      <c r="AC14" s="17"/>
      <c r="AD14" s="17"/>
      <c r="AE14" s="17"/>
      <c r="AF14" s="17"/>
      <c r="AG14" s="17"/>
      <c r="AH14" s="17"/>
      <c r="AI14" s="17"/>
      <c r="AJ14" s="12"/>
    </row>
    <row r="15" customFormat="false" ht="13.8" hidden="false" customHeight="false" outlineLevel="0" collapsed="false">
      <c r="B15" s="12"/>
      <c r="C15" s="1"/>
      <c r="D15" s="19" t="e">
        <f aca="false" t="array" ref="D15:D25">#REF!</f>
        <v>#REF!</v>
      </c>
      <c r="E15" s="1"/>
      <c r="F15" s="15" t="s">
        <v>12</v>
      </c>
      <c r="G15" s="21" t="e">
        <f aca="false" t="array" ref="G15:G15">_xlfn.LET(_xlpm.calcul,(#REF!=ref_Vehicle)*(IF(Phase&lt;&gt;9,Phase_Asset=Phase,1))*(#REF!&lt;&gt;0),IF(SUM(_xlpm.calcul*(#REF!))=0,0,SUM(_xlpm.calcul*(#REF!))/SUM(_xlpm.calcul*(#REF!))))*G$14</f>
        <v>#NAME?</v>
      </c>
      <c r="H15" s="22" t="e">
        <f aca="false">IF($G$32=0,0,G15/$G$32)</f>
        <v>#REF!</v>
      </c>
      <c r="I15" s="1"/>
      <c r="J15" s="1" t="s">
        <v>15</v>
      </c>
      <c r="K15" s="1"/>
      <c r="L15" s="15" t="s">
        <v>12</v>
      </c>
      <c r="M15" s="16" t="e">
        <f aca="false">IF(#REF!=TRUE(),SUM(#REF!,#REF!,#REF!,#REF!,#REF!,#REF!,#REF!,#REF!,-M16),SUM(#REF!,#REF!,#REF!,#REF!,#REF!,#REF!,#REF!,#REF!))</f>
        <v>#REF!</v>
      </c>
      <c r="N15" s="18" t="e">
        <f aca="false">IF($M$32=0,0,M15/$M$32)</f>
        <v>#REF!</v>
      </c>
      <c r="O15" s="1"/>
      <c r="P15" s="1"/>
      <c r="Q15" s="1"/>
      <c r="R15" s="1"/>
      <c r="S15" s="1"/>
      <c r="T15" s="1"/>
      <c r="U15" s="1"/>
      <c r="V15" s="1"/>
      <c r="W15" s="1"/>
      <c r="X15" s="1"/>
      <c r="Y15" s="1"/>
      <c r="Z15" s="1"/>
      <c r="AA15" s="17"/>
      <c r="AB15" s="17"/>
      <c r="AC15" s="17"/>
      <c r="AD15" s="17"/>
      <c r="AE15" s="17"/>
      <c r="AF15" s="17"/>
      <c r="AG15" s="17"/>
      <c r="AH15" s="17"/>
      <c r="AI15" s="17"/>
      <c r="AJ15" s="12"/>
    </row>
    <row r="16" customFormat="false" ht="13.8" hidden="false" customHeight="false" outlineLevel="0" collapsed="false">
      <c r="B16" s="12"/>
      <c r="C16" s="1"/>
      <c r="D16" s="19" t="e">
        <v>#REF!</v>
      </c>
      <c r="E16" s="1"/>
      <c r="F16" s="15" t="s">
        <v>12</v>
      </c>
      <c r="G16" s="21" t="e">
        <f aca="false" t="array" ref="G16:G16">_xlfn.LET(_xlpm.calcul,(#REF!=ref_Vehicle)*(IF(Phase&lt;&gt;9,Phase_Asset=Phase,1))*(#REF!&lt;&gt;0),IF(SUM(_xlpm.calcul*(#REF!))=0,0,SUM(_xlpm.calcul*(#REF!))/SUM(_xlpm.calcul*(#REF!))))*G$14</f>
        <v>#NAME?</v>
      </c>
      <c r="H16" s="22" t="e">
        <f aca="false">IF($G$32=0,0,G16/$G$32)</f>
        <v>#REF!</v>
      </c>
      <c r="I16" s="1"/>
      <c r="J16" s="1" t="s">
        <v>16</v>
      </c>
      <c r="K16" s="1"/>
      <c r="L16" s="15" t="s">
        <v>12</v>
      </c>
      <c r="M16" s="16" t="e">
        <f aca="false">#REF!</f>
        <v>#REF!</v>
      </c>
      <c r="N16" s="18" t="e">
        <f aca="false">IF($M$32=0,0,M16/$M$32)</f>
        <v>#REF!</v>
      </c>
      <c r="O16" s="1"/>
      <c r="P16" s="1" t="s">
        <v>17</v>
      </c>
      <c r="Q16" s="1"/>
      <c r="R16" s="15" t="s">
        <v>12</v>
      </c>
      <c r="S16" s="16" t="e">
        <f aca="false">INDEX(#REF!,,ref_Vehicle)</f>
        <v>#REF!</v>
      </c>
      <c r="T16" s="1"/>
      <c r="U16" s="1"/>
      <c r="V16" s="1"/>
      <c r="W16" s="1"/>
      <c r="X16" s="23" t="e">
        <f aca="false">IF(INDEX(#REF!,,#REF!)=1,"n/a",INDEX(#REF!,,ref_Vehicle))</f>
        <v>#REF!</v>
      </c>
      <c r="Z16" s="1"/>
      <c r="AA16" s="17"/>
      <c r="AB16" s="17"/>
      <c r="AC16" s="17"/>
      <c r="AD16" s="17"/>
      <c r="AE16" s="17"/>
      <c r="AF16" s="17"/>
      <c r="AG16" s="17"/>
      <c r="AH16" s="17"/>
      <c r="AI16" s="17"/>
      <c r="AJ16" s="12"/>
    </row>
    <row r="17" customFormat="false" ht="13.8" hidden="false" customHeight="false" outlineLevel="0" collapsed="false">
      <c r="B17" s="12"/>
      <c r="C17" s="1"/>
      <c r="D17" s="19" t="e">
        <v>#REF!</v>
      </c>
      <c r="E17" s="1"/>
      <c r="F17" s="15" t="s">
        <v>12</v>
      </c>
      <c r="G17" s="21" t="e">
        <f aca="false" t="array" ref="G17:G17">_xlfn.LET(_xlpm.calcul,(#REF!=ref_Vehicle)*(IF(Phase&lt;&gt;9,Phase_Asset=Phase,1))*(#REF!&lt;&gt;0),IF(SUM(_xlpm.calcul*(#REF!))=0,0,SUM(_xlpm.calcul*(#REF!))/SUM(_xlpm.calcul*(#REF!))))*G$14</f>
        <v>#NAME?</v>
      </c>
      <c r="H17" s="22" t="e">
        <f aca="false">IF($G$32=0,0,G17/$G$32)</f>
        <v>#REF!</v>
      </c>
      <c r="I17" s="1"/>
      <c r="J17" s="1" t="s">
        <v>18</v>
      </c>
      <c r="K17" s="1"/>
      <c r="L17" s="15" t="s">
        <v>12</v>
      </c>
      <c r="M17" s="16" t="e">
        <f aca="false">SUM(#REF!,#REF!,#REF!,#REF!,#REF!,#REF!,#REF!,,#REF!)</f>
        <v>#REF!</v>
      </c>
      <c r="N17" s="18" t="e">
        <f aca="false">IF($M$32=0,0,M17/($M$32))</f>
        <v>#REF!</v>
      </c>
      <c r="O17" s="1"/>
      <c r="P17" s="1" t="s">
        <v>19</v>
      </c>
      <c r="Q17" s="1"/>
      <c r="R17" s="15" t="s">
        <v>20</v>
      </c>
      <c r="S17" s="24" t="e">
        <f aca="false">IF(S13&gt;0,S16/S13,0)</f>
        <v>#REF!</v>
      </c>
      <c r="T17" s="1"/>
      <c r="U17" s="1"/>
      <c r="V17" s="1"/>
      <c r="W17" s="1"/>
      <c r="Y17" s="1"/>
      <c r="Z17" s="1"/>
      <c r="AA17" s="17"/>
      <c r="AB17" s="17"/>
      <c r="AC17" s="17"/>
      <c r="AD17" s="17"/>
      <c r="AE17" s="17"/>
      <c r="AF17" s="17"/>
      <c r="AG17" s="17"/>
      <c r="AH17" s="17"/>
      <c r="AI17" s="17"/>
      <c r="AJ17" s="12"/>
    </row>
    <row r="18" customFormat="false" ht="13.8" hidden="false" customHeight="false" outlineLevel="0" collapsed="false">
      <c r="B18" s="12"/>
      <c r="C18" s="1"/>
      <c r="D18" s="19" t="e">
        <v>#REF!</v>
      </c>
      <c r="E18" s="1"/>
      <c r="F18" s="15" t="s">
        <v>12</v>
      </c>
      <c r="G18" s="21" t="e">
        <f aca="false" t="array" ref="G18:G18">_xlfn.LET(_xlpm.calcul,(#REF!=ref_Vehicle)*(IF(Phase&lt;&gt;9,Phase_Asset=Phase,1))*(#REF!&lt;&gt;0),IF(SUM(_xlpm.calcul*(#REF!))=0,0,SUM(_xlpm.calcul*(#REF!))/SUM(_xlpm.calcul*(#REF!))))*G$14</f>
        <v>#NAME?</v>
      </c>
      <c r="H18" s="22" t="e">
        <f aca="false">IF($G$32=0,0,G18/$G$32)</f>
        <v>#REF!</v>
      </c>
      <c r="I18" s="1"/>
      <c r="J18" s="1" t="s">
        <v>21</v>
      </c>
      <c r="K18" s="1"/>
      <c r="L18" s="15" t="s">
        <v>12</v>
      </c>
      <c r="M18" s="16" t="e">
        <f aca="false">MAX(-SUM(#REF!),0)</f>
        <v>#REF!</v>
      </c>
      <c r="N18" s="18" t="n">
        <f aca="false">IFERROR(M18/$M$32,0)</f>
        <v>0</v>
      </c>
      <c r="O18" s="1"/>
      <c r="P18" s="1" t="s">
        <v>22</v>
      </c>
      <c r="Q18" s="1"/>
      <c r="R18" s="15" t="s">
        <v>23</v>
      </c>
      <c r="S18" s="16" t="e">
        <f aca="false">INDEX(#REF!,,ref_Vehicle)</f>
        <v>#REF!</v>
      </c>
      <c r="T18" s="1"/>
      <c r="U18" s="1"/>
      <c r="V18" s="1"/>
      <c r="W18" s="1"/>
      <c r="X18" s="13" t="e">
        <f aca="false">#REF!</f>
        <v>#REF!</v>
      </c>
      <c r="Y18" s="1"/>
      <c r="Z18" s="1"/>
      <c r="AA18" s="17"/>
      <c r="AB18" s="17"/>
      <c r="AC18" s="17"/>
      <c r="AD18" s="17"/>
      <c r="AE18" s="17"/>
      <c r="AF18" s="17"/>
      <c r="AG18" s="17"/>
      <c r="AH18" s="17"/>
      <c r="AI18" s="17"/>
      <c r="AJ18" s="12"/>
    </row>
    <row r="19" customFormat="false" ht="13.8" hidden="false" customHeight="false" outlineLevel="0" collapsed="false">
      <c r="B19" s="12"/>
      <c r="C19" s="1"/>
      <c r="D19" s="19" t="e">
        <v>#REF!</v>
      </c>
      <c r="E19" s="1"/>
      <c r="F19" s="15" t="s">
        <v>12</v>
      </c>
      <c r="G19" s="21" t="e">
        <f aca="false" t="array" ref="G19:G19">_xlfn.LET(_xlpm.calcul,(#REF!=ref_Vehicle)*(IF(Phase&lt;&gt;9,Phase_Asset=Phase,1))*(#REF!&lt;&gt;0),IF(SUM(_xlpm.calcul*(#REF!))=0,0,SUM(_xlpm.calcul*(#REF!))/SUM(_xlpm.calcul*(#REF!))))*G$14</f>
        <v>#NAME?</v>
      </c>
      <c r="H19" s="22" t="e">
        <f aca="false">IF($G$32=0,0,G19/$G$32)</f>
        <v>#REF!</v>
      </c>
      <c r="I19" s="1"/>
      <c r="J19" s="1"/>
      <c r="K19" s="1"/>
      <c r="L19" s="1"/>
      <c r="M19" s="25"/>
      <c r="N19" s="1"/>
      <c r="O19" s="1"/>
      <c r="T19" s="1"/>
      <c r="U19" s="1"/>
      <c r="V19" s="1"/>
      <c r="W19" s="1"/>
      <c r="X19" s="13"/>
      <c r="Y19" s="1"/>
      <c r="Z19" s="1"/>
      <c r="AA19" s="17"/>
      <c r="AB19" s="17"/>
      <c r="AC19" s="17"/>
      <c r="AD19" s="17"/>
      <c r="AE19" s="17"/>
      <c r="AF19" s="17"/>
      <c r="AG19" s="17"/>
      <c r="AH19" s="17"/>
      <c r="AI19" s="17"/>
      <c r="AJ19" s="12"/>
    </row>
    <row r="20" customFormat="false" ht="13.8" hidden="false" customHeight="false" outlineLevel="0" collapsed="false">
      <c r="B20" s="12"/>
      <c r="C20" s="1"/>
      <c r="D20" s="19" t="e">
        <v>#REF!</v>
      </c>
      <c r="E20" s="1"/>
      <c r="F20" s="15" t="s">
        <v>12</v>
      </c>
      <c r="G20" s="21" t="e">
        <f aca="false" t="array" ref="G20:G20">_xlfn.LET(_xlpm.calcul,(#REF!=ref_Vehicle)*(IF(Phase&lt;&gt;9,Phase_Asset=Phase,1))*(#REF!&lt;&gt;0),IF(SUM(_xlpm.calcul*(#REF!))=0,0,SUM(_xlpm.calcul*(#REF!))/SUM(_xlpm.calcul*(#REF!))))*G$14</f>
        <v>#NAME?</v>
      </c>
      <c r="H20" s="22" t="e">
        <f aca="false">IF($G$32=0,0,G20/$G$32)</f>
        <v>#REF!</v>
      </c>
      <c r="I20" s="1"/>
      <c r="J20" s="1"/>
      <c r="K20" s="1"/>
      <c r="L20" s="1"/>
      <c r="M20" s="25"/>
      <c r="N20" s="1"/>
      <c r="O20" s="1"/>
      <c r="P20" s="1" t="s">
        <v>24</v>
      </c>
      <c r="Q20" s="1"/>
      <c r="R20" s="15" t="s">
        <v>25</v>
      </c>
      <c r="S20" s="26" t="e">
        <f aca="false">INDEX(#REF!,,ref_Vehicle)</f>
        <v>#REF!</v>
      </c>
      <c r="U20" s="1"/>
      <c r="V20" s="1"/>
      <c r="W20" s="1"/>
      <c r="X20" s="13"/>
      <c r="Y20" s="1"/>
      <c r="Z20" s="1"/>
      <c r="AA20" s="17"/>
      <c r="AB20" s="17"/>
      <c r="AC20" s="17"/>
      <c r="AD20" s="17"/>
      <c r="AE20" s="17"/>
      <c r="AF20" s="17"/>
      <c r="AG20" s="17"/>
      <c r="AH20" s="17"/>
      <c r="AI20" s="17"/>
      <c r="AJ20" s="12"/>
    </row>
    <row r="21" customFormat="false" ht="13.8" hidden="false" customHeight="false" outlineLevel="0" collapsed="false">
      <c r="B21" s="12"/>
      <c r="C21" s="1"/>
      <c r="D21" s="19" t="e">
        <v>#REF!</v>
      </c>
      <c r="F21" s="15" t="s">
        <v>12</v>
      </c>
      <c r="G21" s="21" t="e">
        <f aca="false" t="array" ref="G21:G21">_xlfn.LET(_xlpm.calcul,(#REF!=ref_Vehicle)*(IF(Phase&lt;&gt;9,Phase_Asset=Phase,1))*(#REF!&lt;&gt;0),IF(SUM(_xlpm.calcul*(#REF!))=0,0,SUM(_xlpm.calcul*(#REF!))/SUM(_xlpm.calcul*(#REF!))))*G$14</f>
        <v>#NAME?</v>
      </c>
      <c r="H21" s="22" t="e">
        <f aca="false">IF($G$32=0,0,G21/$G$32)</f>
        <v>#REF!</v>
      </c>
      <c r="I21" s="1"/>
      <c r="J21" s="1"/>
      <c r="K21" s="1"/>
      <c r="L21" s="1"/>
      <c r="M21" s="27"/>
      <c r="N21" s="1"/>
      <c r="O21" s="1"/>
      <c r="P21" s="1" t="s">
        <v>26</v>
      </c>
      <c r="R21" s="15" t="s">
        <v>27</v>
      </c>
      <c r="S21" s="21" t="e">
        <f aca="false">INDEX(#REF!,,ref_Vehicle)</f>
        <v>#REF!</v>
      </c>
      <c r="T21" s="1"/>
      <c r="Y21" s="1"/>
      <c r="Z21" s="1"/>
      <c r="AA21" s="17"/>
      <c r="AB21" s="17"/>
      <c r="AC21" s="17"/>
      <c r="AD21" s="17"/>
      <c r="AE21" s="17"/>
      <c r="AF21" s="17"/>
      <c r="AG21" s="17"/>
      <c r="AH21" s="17"/>
      <c r="AI21" s="17"/>
      <c r="AJ21" s="12"/>
    </row>
    <row r="22" customFormat="false" ht="13.8" hidden="false" customHeight="false" outlineLevel="0" collapsed="false">
      <c r="B22" s="12"/>
      <c r="C22" s="1"/>
      <c r="D22" s="19" t="e">
        <v>#REF!</v>
      </c>
      <c r="F22" s="15" t="s">
        <v>12</v>
      </c>
      <c r="G22" s="21" t="e">
        <f aca="false" t="array" ref="G22:G22">_xlfn.LET(_xlpm.calcul,(#REF!=ref_Vehicle)*(IF(Phase&lt;&gt;9,Phase_Asset=Phase,1))*(#REF!&lt;&gt;0),IF(SUM(_xlpm.calcul*(#REF!))=0,0,SUM(_xlpm.calcul*(#REF!))/SUM(_xlpm.calcul*(#REF!))))*G$14</f>
        <v>#NAME?</v>
      </c>
      <c r="H22" s="22" t="e">
        <f aca="false">IF($G$32=0,0,G22/$G$32)</f>
        <v>#REF!</v>
      </c>
      <c r="L22" s="1"/>
      <c r="M22" s="25"/>
      <c r="O22" s="1"/>
      <c r="P22" s="1" t="s">
        <v>28</v>
      </c>
      <c r="R22" s="15" t="s">
        <v>27</v>
      </c>
      <c r="S22" s="21" t="e">
        <f aca="false">INDEX(#REF!,,ref_Vehicle)</f>
        <v>#REF!</v>
      </c>
      <c r="T22" s="1"/>
      <c r="Y22" s="1"/>
      <c r="Z22" s="1"/>
      <c r="AA22" s="17"/>
      <c r="AB22" s="17"/>
      <c r="AC22" s="17"/>
      <c r="AD22" s="17"/>
      <c r="AE22" s="17"/>
      <c r="AF22" s="17"/>
      <c r="AG22" s="17"/>
      <c r="AH22" s="17"/>
      <c r="AI22" s="17"/>
      <c r="AJ22" s="12"/>
    </row>
    <row r="23" customFormat="false" ht="13.8" hidden="false" customHeight="false" outlineLevel="0" collapsed="false">
      <c r="B23" s="12"/>
      <c r="C23" s="1"/>
      <c r="D23" s="19" t="e">
        <v>#REF!</v>
      </c>
      <c r="E23" s="1"/>
      <c r="F23" s="15" t="s">
        <v>12</v>
      </c>
      <c r="G23" s="21" t="e">
        <f aca="false" t="array" ref="G23:G23">_xlfn.LET(_xlpm.calcul,(#REF!=ref_Vehicle)*(IF(Phase&lt;&gt;9,Phase_Asset=Phase,1))*(#REF!&lt;&gt;0),IF(SUM(_xlpm.calcul*(#REF!))=0,0,SUM(_xlpm.calcul*(#REF!))/SUM(_xlpm.calcul*(#REF!))))*G$14</f>
        <v>#NAME?</v>
      </c>
      <c r="H23" s="22" t="e">
        <f aca="false">IF($G$32=0,0,G23/$G$32)</f>
        <v>#REF!</v>
      </c>
      <c r="J23" s="14"/>
      <c r="M23" s="25"/>
      <c r="O23" s="1"/>
      <c r="P23" s="1" t="s">
        <v>29</v>
      </c>
      <c r="R23" s="15" t="s">
        <v>30</v>
      </c>
      <c r="S23" s="28" t="e">
        <f aca="false">INDEX(#REF!,,ref_Vehicle)</f>
        <v>#REF!</v>
      </c>
      <c r="T23" s="1"/>
      <c r="V23" s="5" t="s">
        <v>31</v>
      </c>
      <c r="W23" s="15" t="s">
        <v>32</v>
      </c>
      <c r="X23" s="21" t="e">
        <f aca="false">INDEX(#REF!,,ref_Vehicle)</f>
        <v>#REF!</v>
      </c>
      <c r="Z23" s="1"/>
      <c r="AA23" s="17"/>
      <c r="AB23" s="17"/>
      <c r="AC23" s="17"/>
      <c r="AD23" s="17"/>
      <c r="AE23" s="17"/>
      <c r="AF23" s="17"/>
      <c r="AG23" s="17"/>
      <c r="AH23" s="17"/>
      <c r="AI23" s="17"/>
      <c r="AJ23" s="12"/>
    </row>
    <row r="24" customFormat="false" ht="13.8" hidden="false" customHeight="false" outlineLevel="0" collapsed="false">
      <c r="B24" s="12"/>
      <c r="C24" s="1"/>
      <c r="D24" s="19" t="e">
        <v>#REF!</v>
      </c>
      <c r="F24" s="15" t="s">
        <v>12</v>
      </c>
      <c r="G24" s="21" t="e">
        <f aca="false" t="array" ref="G24:G24">_xlfn.LET(_xlpm.calcul,(#REF!=ref_Vehicle)*(IF(Phase&lt;&gt;9,Phase_Asset=Phase,1))*(#REF!&lt;&gt;0),IF(SUM(_xlpm.calcul*(#REF!))=0,0,SUM(_xlpm.calcul*(#REF!))/SUM(_xlpm.calcul*(#REF!))))*G$14</f>
        <v>#NAME?</v>
      </c>
      <c r="H24" s="22" t="e">
        <f aca="false">IF($G$32=0,0,G24/$G$32)</f>
        <v>#REF!</v>
      </c>
      <c r="I24" s="1"/>
      <c r="J24" s="1"/>
      <c r="K24" s="1"/>
      <c r="L24" s="1"/>
      <c r="M24" s="27"/>
      <c r="N24" s="1"/>
      <c r="O24" s="1"/>
      <c r="P24" s="5" t="e">
        <f aca="false">#REF!</f>
        <v>#REF!</v>
      </c>
      <c r="R24" s="15" t="s">
        <v>33</v>
      </c>
      <c r="S24" s="29" t="e">
        <f aca="false">INDEX(#REF!,,ref_Vehicle)</f>
        <v>#REF!</v>
      </c>
      <c r="T24" s="1"/>
      <c r="U24" s="19"/>
      <c r="V24" s="19" t="e">
        <f aca="false">"directly held by "&amp;X18</f>
        <v>#REF!</v>
      </c>
      <c r="W24" s="15" t="s">
        <v>32</v>
      </c>
      <c r="X24" s="20" t="e">
        <f aca="false">COUNTIF(#REF!,ref_Vehicle)</f>
        <v>#REF!</v>
      </c>
      <c r="Z24" s="1"/>
      <c r="AA24" s="17"/>
      <c r="AB24" s="17"/>
      <c r="AC24" s="17"/>
      <c r="AD24" s="17"/>
      <c r="AE24" s="17"/>
      <c r="AF24" s="17"/>
      <c r="AG24" s="17"/>
      <c r="AH24" s="17"/>
      <c r="AI24" s="17"/>
      <c r="AJ24" s="12"/>
    </row>
    <row r="25" customFormat="false" ht="13.8" hidden="false" customHeight="false" outlineLevel="0" collapsed="false">
      <c r="B25" s="12"/>
      <c r="C25" s="1"/>
      <c r="D25" s="19" t="e">
        <v>#REF!</v>
      </c>
      <c r="F25" s="15" t="s">
        <v>12</v>
      </c>
      <c r="G25" s="21" t="e">
        <f aca="false" t="array" ref="G25:G25">_xlfn.LET(_xlpm.calcul,(#REF!=ref_Vehicle)*(IF(Phase&lt;&gt;9,Phase_Asset=Phase,1))*(#REF!&lt;&gt;0),IF(SUM(_xlpm.calcul*(#REF!))=0,0,SUM(_xlpm.calcul*(#REF!))/SUM(_xlpm.calcul*(#REF!))))*G$14</f>
        <v>#NAME?</v>
      </c>
      <c r="H25" s="22" t="e">
        <f aca="false">IF($G$32=0,0,G25/$G$32)</f>
        <v>#REF!</v>
      </c>
      <c r="K25" s="1"/>
      <c r="L25" s="1"/>
      <c r="M25" s="27"/>
      <c r="N25" s="1"/>
      <c r="O25" s="1"/>
      <c r="P25" s="5" t="e">
        <f aca="false">#REF!</f>
        <v>#REF!</v>
      </c>
      <c r="R25" s="15" t="s">
        <v>33</v>
      </c>
      <c r="S25" s="29" t="e">
        <f aca="false">INDEX(#REF!,,ref_Vehicle)</f>
        <v>#REF!</v>
      </c>
      <c r="T25" s="1"/>
      <c r="Z25" s="1"/>
      <c r="AA25" s="17"/>
      <c r="AB25" s="17"/>
      <c r="AC25" s="17"/>
      <c r="AD25" s="17"/>
      <c r="AE25" s="17"/>
      <c r="AF25" s="17"/>
      <c r="AG25" s="17"/>
      <c r="AH25" s="17"/>
      <c r="AI25" s="17"/>
      <c r="AJ25" s="12"/>
    </row>
    <row r="26" customFormat="false" ht="13.8" hidden="false" customHeight="false" outlineLevel="0" collapsed="false">
      <c r="B26" s="12"/>
      <c r="C26" s="1"/>
      <c r="D26" s="19" t="e">
        <f aca="false">#REF!</f>
        <v>#REF!</v>
      </c>
      <c r="F26" s="15" t="s">
        <v>12</v>
      </c>
      <c r="G26" s="21" t="e">
        <f aca="false" t="array" ref="G26:G26">_xlfn.LET(_xlpm.calcul,(#REF!=ref_Vehicle)*(IF(Phase&lt;&gt;9,Phase_Asset=Phase,1))*(#REF!&lt;&gt;0),IF(SUM(_xlpm.calcul*(#REF!))=0,0,SUM(_xlpm.calcul*(#REF!))/SUM(_xlpm.calcul*(#REF!))))*G$14</f>
        <v>#NAME?</v>
      </c>
      <c r="H26" s="22" t="e">
        <f aca="false">IF($G$32=0,0,G26/$G$32)</f>
        <v>#REF!</v>
      </c>
      <c r="K26" s="1"/>
      <c r="L26" s="1"/>
      <c r="M26" s="27"/>
      <c r="N26" s="1"/>
      <c r="O26" s="1"/>
      <c r="V26" s="1" t="s">
        <v>34</v>
      </c>
      <c r="W26" s="15" t="s">
        <v>32</v>
      </c>
      <c r="X26" s="16" t="e">
        <f aca="false">INDEX(#REF!,,ref_Vehicle)</f>
        <v>#REF!</v>
      </c>
      <c r="AC26" s="17"/>
      <c r="AD26" s="17"/>
      <c r="AE26" s="17"/>
      <c r="AF26" s="17"/>
      <c r="AG26" s="17"/>
      <c r="AH26" s="17"/>
      <c r="AI26" s="17"/>
      <c r="AJ26" s="12"/>
    </row>
    <row r="27" customFormat="false" ht="13.8" hidden="false" customHeight="false" outlineLevel="0" collapsed="false">
      <c r="B27" s="12"/>
      <c r="C27" s="1"/>
      <c r="D27" s="1" t="e">
        <f aca="false">#REF!</f>
        <v>#REF!</v>
      </c>
      <c r="F27" s="15" t="s">
        <v>12</v>
      </c>
      <c r="G27" s="21" t="e">
        <f aca="false">#REF!</f>
        <v>#REF!</v>
      </c>
      <c r="H27" s="18" t="e">
        <f aca="false">IF($G$32=0,0,G27/$G$32)</f>
        <v>#REF!</v>
      </c>
      <c r="K27" s="1"/>
      <c r="L27" s="1"/>
      <c r="M27" s="27"/>
      <c r="O27" s="1"/>
      <c r="T27" s="1"/>
      <c r="U27" s="1"/>
      <c r="V27" s="1" t="s">
        <v>35</v>
      </c>
      <c r="W27" s="15" t="s">
        <v>32</v>
      </c>
      <c r="X27" s="16" t="e">
        <f aca="false">INDEX(#REF!,,ref_Vehicle)</f>
        <v>#REF!</v>
      </c>
      <c r="Z27" s="1"/>
      <c r="AD27" s="1"/>
      <c r="AE27" s="1"/>
      <c r="AF27" s="1"/>
      <c r="AG27" s="1"/>
      <c r="AH27" s="1"/>
      <c r="AI27" s="1"/>
      <c r="AJ27" s="12"/>
    </row>
    <row r="28" customFormat="false" ht="13.8" hidden="false" customHeight="false" outlineLevel="0" collapsed="false">
      <c r="B28" s="12"/>
      <c r="C28" s="1"/>
      <c r="D28" s="1" t="e">
        <f aca="false">#REF!</f>
        <v>#REF!</v>
      </c>
      <c r="E28" s="1"/>
      <c r="F28" s="15" t="s">
        <v>12</v>
      </c>
      <c r="G28" s="21" t="e">
        <f aca="false">#REF!</f>
        <v>#REF!</v>
      </c>
      <c r="H28" s="18" t="e">
        <f aca="false">IF($G$32=0,0,G28/$G$32)</f>
        <v>#REF!</v>
      </c>
      <c r="J28" s="30"/>
      <c r="K28" s="1"/>
      <c r="L28" s="1"/>
      <c r="M28" s="27"/>
      <c r="N28" s="1"/>
      <c r="O28" s="1"/>
      <c r="P28" s="1"/>
      <c r="T28" s="1"/>
      <c r="U28" s="1"/>
      <c r="Z28" s="1"/>
      <c r="AD28" s="1"/>
      <c r="AE28" s="1"/>
      <c r="AF28" s="1"/>
      <c r="AG28" s="1"/>
      <c r="AH28" s="1"/>
      <c r="AI28" s="1"/>
      <c r="AJ28" s="12"/>
    </row>
    <row r="29" customFormat="false" ht="13.8" hidden="false" customHeight="false" outlineLevel="0" collapsed="false">
      <c r="B29" s="12"/>
      <c r="C29" s="1"/>
      <c r="D29" s="1" t="e">
        <f aca="false">#REF!</f>
        <v>#REF!</v>
      </c>
      <c r="E29" s="1"/>
      <c r="F29" s="15" t="s">
        <v>12</v>
      </c>
      <c r="G29" s="21" t="e">
        <f aca="false">#REF!-MIN(#REF!,0)</f>
        <v>#REF!</v>
      </c>
      <c r="H29" s="18" t="e">
        <f aca="false">IF($G$32=0,0,G29/$G$32)</f>
        <v>#REF!</v>
      </c>
      <c r="K29" s="1"/>
      <c r="L29" s="1"/>
      <c r="M29" s="27"/>
      <c r="N29" s="1"/>
      <c r="O29" s="1"/>
      <c r="P29" s="1"/>
      <c r="T29" s="1"/>
      <c r="AD29" s="1"/>
      <c r="AE29" s="1"/>
      <c r="AF29" s="1"/>
      <c r="AG29" s="1"/>
      <c r="AH29" s="1"/>
      <c r="AI29" s="1"/>
      <c r="AJ29" s="12"/>
    </row>
    <row r="30" customFormat="false" ht="13.8" hidden="false" customHeight="false" outlineLevel="0" collapsed="false">
      <c r="B30" s="12"/>
      <c r="C30" s="1"/>
      <c r="D30" s="1" t="e">
        <f aca="false">#REF!</f>
        <v>#REF!</v>
      </c>
      <c r="E30" s="1"/>
      <c r="F30" s="15" t="s">
        <v>12</v>
      </c>
      <c r="G30" s="21" t="e">
        <f aca="false">#REF!</f>
        <v>#REF!</v>
      </c>
      <c r="H30" s="18" t="e">
        <f aca="false">IF($G$32=0,0,G30/$G$32)</f>
        <v>#REF!</v>
      </c>
      <c r="K30" s="1"/>
      <c r="L30" s="1"/>
      <c r="M30" s="27"/>
      <c r="N30" s="1"/>
      <c r="O30" s="1"/>
      <c r="T30" s="1"/>
      <c r="AD30" s="1"/>
      <c r="AE30" s="1"/>
      <c r="AF30" s="1"/>
      <c r="AG30" s="1"/>
      <c r="AH30" s="1"/>
      <c r="AI30" s="1"/>
      <c r="AJ30" s="12"/>
    </row>
    <row r="31" customFormat="false" ht="13.8" hidden="false" customHeight="false" outlineLevel="0" collapsed="false">
      <c r="B31" s="12"/>
      <c r="C31" s="1"/>
      <c r="D31" s="1"/>
      <c r="E31" s="1"/>
      <c r="F31" s="15"/>
      <c r="K31" s="1"/>
      <c r="L31" s="1"/>
      <c r="M31" s="27"/>
      <c r="N31" s="1"/>
      <c r="O31" s="1"/>
      <c r="T31" s="1"/>
      <c r="AD31" s="1"/>
      <c r="AE31" s="1"/>
      <c r="AF31" s="1"/>
      <c r="AG31" s="1"/>
      <c r="AH31" s="1"/>
      <c r="AI31" s="1"/>
      <c r="AJ31" s="12"/>
    </row>
    <row r="32" customFormat="false" ht="13.8" hidden="false" customHeight="false" outlineLevel="0" collapsed="false">
      <c r="B32" s="12"/>
      <c r="C32" s="1"/>
      <c r="D32" s="31" t="e">
        <f aca="false">#REF!</f>
        <v>#REF!</v>
      </c>
      <c r="E32" s="1"/>
      <c r="F32" s="32" t="s">
        <v>12</v>
      </c>
      <c r="G32" s="33" t="e">
        <f aca="false">SUM(G14,G27:G30)</f>
        <v>#REF!</v>
      </c>
      <c r="H32" s="34" t="e">
        <f aca="false">IF(G32=0,0,G32/$G$32)</f>
        <v>#REF!</v>
      </c>
      <c r="I32" s="1"/>
      <c r="J32" s="31" t="e">
        <f aca="false">#REF!</f>
        <v>#REF!</v>
      </c>
      <c r="K32" s="1"/>
      <c r="L32" s="32" t="s">
        <v>12</v>
      </c>
      <c r="M32" s="33" t="e">
        <f aca="false">SUM(M14:M28)</f>
        <v>#REF!</v>
      </c>
      <c r="N32" s="34" t="e">
        <f aca="false">IF(M32=0,0,M32/$G$32)</f>
        <v>#REF!</v>
      </c>
      <c r="O32" s="27"/>
      <c r="P32" s="25"/>
      <c r="AA32" s="1"/>
      <c r="AB32" s="1"/>
      <c r="AC32" s="1"/>
      <c r="AD32" s="1"/>
      <c r="AE32" s="1"/>
      <c r="AF32" s="1"/>
      <c r="AG32" s="1"/>
      <c r="AH32" s="1"/>
      <c r="AI32" s="1"/>
      <c r="AJ32" s="12"/>
    </row>
    <row r="33" customFormat="false" ht="13.8" hidden="false" customHeight="false" outlineLevel="0" collapsed="false">
      <c r="B33" s="12"/>
      <c r="C33" s="1"/>
      <c r="D33" s="1"/>
      <c r="E33" s="1"/>
      <c r="F33" s="1"/>
      <c r="H33" s="1"/>
      <c r="I33" s="1"/>
      <c r="J33" s="1"/>
      <c r="K33" s="1"/>
      <c r="L33" s="1"/>
      <c r="M33" s="1"/>
      <c r="N33" s="1"/>
      <c r="O33" s="1"/>
      <c r="P33" s="1"/>
      <c r="Q33" s="1"/>
      <c r="R33" s="1"/>
      <c r="S33" s="1"/>
      <c r="T33" s="1"/>
      <c r="AA33" s="1"/>
      <c r="AB33" s="1"/>
      <c r="AC33" s="1"/>
      <c r="AD33" s="1"/>
      <c r="AE33" s="1"/>
      <c r="AF33" s="1"/>
      <c r="AG33" s="1"/>
      <c r="AH33" s="1"/>
      <c r="AI33" s="1"/>
      <c r="AJ33" s="12"/>
    </row>
    <row r="34" customFormat="false" ht="6" hidden="false" customHeight="true" outlineLevel="0" collapsed="false">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row>
    <row r="35" customFormat="false" ht="13.8" hidden="false" customHeight="false" outlineLevel="0" collapsed="false">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customFormat="false" ht="6" hidden="false" customHeight="true" outlineLevel="0" collapsed="false">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row>
    <row r="37" customFormat="false" ht="13.8" hidden="false" customHeight="false" outlineLevel="0" collapsed="false">
      <c r="B37" s="12"/>
      <c r="C37" s="1"/>
      <c r="D37" s="1"/>
      <c r="E37" s="1"/>
      <c r="F37" s="1"/>
      <c r="G37" s="1"/>
      <c r="H37" s="1"/>
      <c r="I37" s="1"/>
      <c r="J37" s="1"/>
      <c r="K37" s="1"/>
      <c r="L37" s="1"/>
      <c r="M37" s="1"/>
      <c r="N37" s="1"/>
      <c r="O37" s="1"/>
      <c r="P37" s="1"/>
      <c r="Q37" s="1"/>
      <c r="S37" s="1"/>
      <c r="T37" s="1"/>
      <c r="U37" s="1"/>
      <c r="V37" s="1"/>
      <c r="W37" s="1"/>
      <c r="X37" s="1"/>
      <c r="Y37" s="1"/>
      <c r="Z37" s="1"/>
      <c r="AA37" s="1"/>
      <c r="AB37" s="1"/>
      <c r="AC37" s="1"/>
      <c r="AD37" s="1"/>
      <c r="AE37" s="1"/>
      <c r="AF37" s="1"/>
      <c r="AG37" s="1"/>
      <c r="AH37" s="1"/>
      <c r="AI37" s="1"/>
      <c r="AJ37" s="12"/>
    </row>
    <row r="38" customFormat="false" ht="15.75" hidden="false" customHeight="true" outlineLevel="0" collapsed="false">
      <c r="B38" s="12"/>
      <c r="C38" s="1"/>
      <c r="D38" s="6" t="s">
        <v>36</v>
      </c>
      <c r="E38" s="1"/>
      <c r="F38" s="1"/>
      <c r="G38" s="1"/>
      <c r="H38" s="1"/>
      <c r="I38" s="1"/>
      <c r="J38" s="6" t="s">
        <v>37</v>
      </c>
      <c r="K38" s="1"/>
      <c r="L38" s="1"/>
      <c r="M38" s="1"/>
      <c r="N38" s="1"/>
      <c r="AI38" s="1"/>
      <c r="AJ38" s="12"/>
    </row>
    <row r="39" customFormat="false" ht="15.75" hidden="false" customHeight="true" outlineLevel="0" collapsed="false">
      <c r="B39" s="12"/>
      <c r="C39" s="1"/>
      <c r="D39" s="1"/>
      <c r="E39" s="1"/>
      <c r="F39" s="1"/>
      <c r="H39" s="1"/>
      <c r="I39" s="1"/>
      <c r="J39" s="1"/>
      <c r="K39" s="1"/>
      <c r="L39" s="1"/>
      <c r="M39" s="1"/>
      <c r="N39" s="1"/>
      <c r="AI39" s="1"/>
      <c r="AJ39" s="12"/>
    </row>
    <row r="40" customFormat="false" ht="15.75" hidden="false" customHeight="true" outlineLevel="0" collapsed="false">
      <c r="B40" s="12"/>
      <c r="C40" s="1"/>
      <c r="D40" s="1" t="s">
        <v>38</v>
      </c>
      <c r="F40" s="15" t="s">
        <v>12</v>
      </c>
      <c r="G40" s="16" t="e">
        <f aca="false">M17</f>
        <v>#REF!</v>
      </c>
      <c r="H40" s="1"/>
      <c r="I40" s="1"/>
      <c r="J40" s="5" t="e">
        <f aca="false">#REF!</f>
        <v>#REF!</v>
      </c>
      <c r="L40" s="15" t="s">
        <v>33</v>
      </c>
      <c r="M40" s="18" t="e">
        <f aca="false">#REF!</f>
        <v>#REF!</v>
      </c>
      <c r="N40" s="1"/>
      <c r="AI40" s="1"/>
      <c r="AJ40" s="12"/>
    </row>
    <row r="41" customFormat="false" ht="15.75" hidden="false" customHeight="true" outlineLevel="0" collapsed="false">
      <c r="B41" s="12"/>
      <c r="C41" s="1"/>
      <c r="D41" s="19" t="s">
        <v>39</v>
      </c>
      <c r="F41" s="15" t="s">
        <v>12</v>
      </c>
      <c r="G41" s="16" t="e">
        <f aca="false">#REF!</f>
        <v>#REF!</v>
      </c>
      <c r="I41" s="1"/>
      <c r="J41" s="1" t="s">
        <v>40</v>
      </c>
      <c r="K41" s="1"/>
      <c r="L41" s="15" t="s">
        <v>33</v>
      </c>
      <c r="M41" s="18" t="e">
        <f aca="false">N17</f>
        <v>#REF!</v>
      </c>
      <c r="N41" s="1"/>
      <c r="AI41" s="1"/>
      <c r="AJ41" s="12"/>
    </row>
    <row r="42" customFormat="false" ht="15.75" hidden="false" customHeight="true" outlineLevel="0" collapsed="false">
      <c r="B42" s="12"/>
      <c r="C42" s="1"/>
      <c r="D42" s="19" t="s">
        <v>41</v>
      </c>
      <c r="F42" s="15" t="s">
        <v>12</v>
      </c>
      <c r="G42" s="16" t="e">
        <f aca="false">#REF!</f>
        <v>#REF!</v>
      </c>
      <c r="H42" s="1"/>
      <c r="I42" s="1"/>
      <c r="J42" s="1" t="s">
        <v>42</v>
      </c>
      <c r="K42" s="1"/>
      <c r="L42" s="15" t="s">
        <v>43</v>
      </c>
      <c r="M42" s="35" t="e">
        <f aca="false">#REF!</f>
        <v>#REF!</v>
      </c>
      <c r="N42" s="1"/>
      <c r="AI42" s="1"/>
      <c r="AJ42" s="12"/>
    </row>
    <row r="43" customFormat="false" ht="15.75" hidden="false" customHeight="true" outlineLevel="0" collapsed="false">
      <c r="B43" s="12"/>
      <c r="C43" s="1"/>
      <c r="D43" s="19" t="s">
        <v>44</v>
      </c>
      <c r="F43" s="15" t="s">
        <v>12</v>
      </c>
      <c r="G43" s="16" t="e">
        <f aca="false">#REF!</f>
        <v>#REF!</v>
      </c>
      <c r="H43" s="1"/>
      <c r="I43" s="1"/>
      <c r="J43" s="1" t="s">
        <v>45</v>
      </c>
      <c r="K43" s="1"/>
      <c r="L43" s="15" t="s">
        <v>43</v>
      </c>
      <c r="M43" s="36" t="e">
        <f aca="false">#REF!</f>
        <v>#REF!</v>
      </c>
      <c r="N43" s="1"/>
      <c r="AI43" s="1"/>
      <c r="AJ43" s="12"/>
    </row>
    <row r="44" customFormat="false" ht="15.75" hidden="false" customHeight="true" outlineLevel="0" collapsed="false">
      <c r="B44" s="12"/>
      <c r="C44" s="1"/>
      <c r="D44" s="19" t="s">
        <v>46</v>
      </c>
      <c r="F44" s="15" t="s">
        <v>12</v>
      </c>
      <c r="G44" s="16" t="e">
        <f aca="false">#REF!</f>
        <v>#REF!</v>
      </c>
      <c r="H44" s="1"/>
      <c r="I44" s="1"/>
      <c r="J44" s="1" t="s">
        <v>47</v>
      </c>
      <c r="K44" s="1"/>
      <c r="L44" s="15" t="s">
        <v>43</v>
      </c>
      <c r="M44" s="36" t="e">
        <f aca="false">#REF!</f>
        <v>#REF!</v>
      </c>
      <c r="N44" s="1"/>
      <c r="AI44" s="1"/>
      <c r="AJ44" s="12"/>
    </row>
    <row r="45" customFormat="false" ht="15.75" hidden="false" customHeight="true" outlineLevel="0" collapsed="false">
      <c r="B45" s="12"/>
      <c r="C45" s="1"/>
      <c r="D45" s="19" t="s">
        <v>48</v>
      </c>
      <c r="F45" s="15" t="s">
        <v>12</v>
      </c>
      <c r="G45" s="16" t="e">
        <f aca="false">#REF!</f>
        <v>#REF!</v>
      </c>
      <c r="H45" s="1"/>
      <c r="I45" s="1"/>
      <c r="J45" s="1" t="s">
        <v>49</v>
      </c>
      <c r="K45" s="1"/>
      <c r="L45" s="15" t="s">
        <v>43</v>
      </c>
      <c r="M45" s="36" t="e">
        <f aca="false">#REF!</f>
        <v>#REF!</v>
      </c>
      <c r="N45" s="1"/>
      <c r="AI45" s="1"/>
      <c r="AJ45" s="12"/>
    </row>
    <row r="46" customFormat="false" ht="15.75" hidden="false" customHeight="true" outlineLevel="0" collapsed="false">
      <c r="B46" s="12"/>
      <c r="C46" s="1"/>
      <c r="D46" s="19" t="s">
        <v>50</v>
      </c>
      <c r="F46" s="15" t="s">
        <v>12</v>
      </c>
      <c r="G46" s="16" t="e">
        <f aca="false">#REF!</f>
        <v>#REF!</v>
      </c>
      <c r="H46" s="1"/>
      <c r="I46" s="1"/>
      <c r="J46" s="1" t="str">
        <f aca="false">AG137</f>
        <v>Shortfall senior facility</v>
      </c>
      <c r="K46" s="1"/>
      <c r="L46" s="15" t="s">
        <v>12</v>
      </c>
      <c r="M46" s="16" t="e">
        <f aca="false">#REF!</f>
        <v>#REF!</v>
      </c>
      <c r="N46" s="1"/>
      <c r="AI46" s="1"/>
      <c r="AJ46" s="12"/>
    </row>
    <row r="47" customFormat="false" ht="15.75" hidden="false" customHeight="true" outlineLevel="0" collapsed="false">
      <c r="B47" s="12"/>
      <c r="C47" s="1"/>
      <c r="D47" s="19" t="s">
        <v>51</v>
      </c>
      <c r="F47" s="15" t="s">
        <v>12</v>
      </c>
      <c r="G47" s="16" t="e">
        <f aca="false">#REF!</f>
        <v>#REF!</v>
      </c>
      <c r="H47" s="1"/>
      <c r="I47" s="1"/>
      <c r="J47" s="1"/>
      <c r="K47" s="1"/>
      <c r="L47" s="1"/>
      <c r="M47" s="1"/>
      <c r="N47" s="1"/>
      <c r="AC47" s="1"/>
      <c r="AI47" s="1"/>
      <c r="AJ47" s="12"/>
    </row>
    <row r="48" customFormat="false" ht="15.75" hidden="false" customHeight="true" outlineLevel="0" collapsed="false">
      <c r="B48" s="12"/>
      <c r="D48" s="19" t="s">
        <v>52</v>
      </c>
      <c r="F48" s="15" t="s">
        <v>12</v>
      </c>
      <c r="G48" s="16" t="e">
        <f aca="false">#REF!</f>
        <v>#REF!</v>
      </c>
      <c r="J48" s="6" t="s">
        <v>53</v>
      </c>
      <c r="K48" s="1"/>
      <c r="L48" s="1"/>
      <c r="M48" s="1"/>
      <c r="AJ48" s="12"/>
    </row>
    <row r="49" customFormat="false" ht="15.75" hidden="false" customHeight="true" outlineLevel="0" collapsed="false">
      <c r="B49" s="12"/>
      <c r="AJ49" s="12"/>
    </row>
    <row r="50" customFormat="false" ht="15.75" hidden="false" customHeight="true" outlineLevel="0" collapsed="false">
      <c r="B50" s="12"/>
      <c r="D50" s="5" t="s">
        <v>54</v>
      </c>
      <c r="F50" s="15" t="s">
        <v>12</v>
      </c>
      <c r="G50" s="16" t="e">
        <f aca="false">#REF!</f>
        <v>#REF!</v>
      </c>
      <c r="J50" s="5" t="s">
        <v>55</v>
      </c>
      <c r="L50" s="15" t="s">
        <v>12</v>
      </c>
      <c r="M50" s="16" t="n">
        <f aca="false">IF(scenario=1,SUMPRODUCT(#REF!,#REF!)+SUMPRODUCT(#REF!,#REF!)+SUMPRODUCT(#REF!,#REF!)+SUMPRODUCT(#REF!,#REF!)+SUMPRODUCT(#REF!,#REF!)+SUMPRODUCT(#REF!,#REF!)+SUMPRODUCT(#REF!,#REF!)+SUMPRODUCT(#REF!,#REF!),)</f>
        <v>0</v>
      </c>
      <c r="AJ50" s="12"/>
    </row>
    <row r="51" customFormat="false" ht="15.75" hidden="false" customHeight="true" outlineLevel="0" collapsed="false">
      <c r="B51" s="12"/>
      <c r="D51" s="1" t="s">
        <v>56</v>
      </c>
      <c r="E51" s="1"/>
      <c r="F51" s="15" t="s">
        <v>12</v>
      </c>
      <c r="G51" s="16" t="e">
        <f aca="false">#REF!</f>
        <v>#REF!</v>
      </c>
      <c r="J51" s="1" t="s">
        <v>57</v>
      </c>
      <c r="L51" s="15" t="s">
        <v>33</v>
      </c>
      <c r="M51" s="18" t="e">
        <f aca="false">IF(AND(#REF!,$G$40&gt;0,scenario=1),M50/$G$40,)</f>
        <v>#REF!</v>
      </c>
      <c r="AJ51" s="12"/>
    </row>
    <row r="52" customFormat="false" ht="13.8" hidden="false" customHeight="false" outlineLevel="0" collapsed="false">
      <c r="B52" s="12"/>
      <c r="D52" s="1" t="s">
        <v>58</v>
      </c>
      <c r="F52" s="15" t="s">
        <v>12</v>
      </c>
      <c r="G52" s="16" t="e">
        <f aca="false">#REF!</f>
        <v>#REF!</v>
      </c>
      <c r="J52" s="1" t="s">
        <v>59</v>
      </c>
      <c r="K52" s="1"/>
      <c r="L52" s="15" t="s">
        <v>12</v>
      </c>
      <c r="M52" s="16" t="n">
        <f aca="false">IF(scenario=1,#REF!*#REF!,)</f>
        <v>0</v>
      </c>
      <c r="AJ52" s="12"/>
    </row>
    <row r="53" customFormat="false" ht="13.8" hidden="false" customHeight="false" outlineLevel="0" collapsed="false">
      <c r="B53" s="12"/>
      <c r="J53" s="1" t="s">
        <v>60</v>
      </c>
      <c r="K53" s="1"/>
      <c r="L53" s="15" t="s">
        <v>33</v>
      </c>
      <c r="M53" s="18" t="e">
        <f aca="false">IF(AND(#REF!,$G$40&gt;0,scenario=1),M52/$G$40,)</f>
        <v>#REF!</v>
      </c>
      <c r="AJ53" s="12"/>
    </row>
    <row r="54" customFormat="false" ht="13.8" hidden="false" customHeight="false" outlineLevel="0" collapsed="false">
      <c r="B54" s="12"/>
      <c r="D54" s="1" t="s">
        <v>61</v>
      </c>
      <c r="E54" s="1"/>
      <c r="F54" s="15" t="s">
        <v>25</v>
      </c>
      <c r="G54" s="26" t="e">
        <f aca="false">IF(Phase=9,#REF!+1,#REF!)</f>
        <v>#REF!</v>
      </c>
      <c r="J54" s="1" t="s">
        <v>62</v>
      </c>
      <c r="L54" s="15" t="s">
        <v>33</v>
      </c>
      <c r="M54" s="18" t="n">
        <f aca="false">IF(scenario=1,(M50-G58-M52)/M17,)</f>
        <v>0</v>
      </c>
      <c r="AJ54" s="12"/>
    </row>
    <row r="55" customFormat="false" ht="13.8" hidden="false" customHeight="false" outlineLevel="0" collapsed="false">
      <c r="B55" s="12"/>
      <c r="D55" s="1" t="s">
        <v>63</v>
      </c>
      <c r="E55" s="1"/>
      <c r="F55" s="15" t="s">
        <v>25</v>
      </c>
      <c r="G55" s="26" t="e">
        <f aca="false">IF(#REF!,#REF!,0)</f>
        <v>#REF!</v>
      </c>
      <c r="I55" s="1"/>
      <c r="J55" s="1" t="s">
        <v>64</v>
      </c>
      <c r="K55" s="1"/>
      <c r="L55" s="15" t="e">
        <f aca="false">#REF!</f>
        <v>#REF!</v>
      </c>
      <c r="M55" s="26" t="e">
        <f aca="false">#REF!</f>
        <v>#REF!</v>
      </c>
      <c r="AI55" s="1"/>
      <c r="AJ55" s="12"/>
    </row>
    <row r="56" customFormat="false" ht="13.8" hidden="false" customHeight="false" outlineLevel="0" collapsed="false">
      <c r="B56" s="12"/>
      <c r="D56" s="1" t="s">
        <v>65</v>
      </c>
      <c r="E56" s="1"/>
      <c r="F56" s="15" t="s">
        <v>66</v>
      </c>
      <c r="G56" s="24" t="e">
        <f aca="false">YEARFRAC(G54,G55,1)</f>
        <v>#REF!</v>
      </c>
      <c r="I56" s="1"/>
      <c r="J56" s="1" t="s">
        <v>67</v>
      </c>
      <c r="K56" s="1"/>
      <c r="L56" s="15" t="e">
        <f aca="false">#REF!</f>
        <v>#REF!</v>
      </c>
      <c r="M56" s="26" t="e">
        <f aca="false">#REF!</f>
        <v>#REF!</v>
      </c>
      <c r="AI56" s="1"/>
      <c r="AJ56" s="12"/>
    </row>
    <row r="57" customFormat="false" ht="15.75" hidden="false" customHeight="true" outlineLevel="0" collapsed="false">
      <c r="B57" s="12"/>
      <c r="I57" s="1"/>
      <c r="J57" s="1" t="s">
        <v>68</v>
      </c>
      <c r="K57" s="1"/>
      <c r="L57" s="15" t="e">
        <f aca="false">#REF!</f>
        <v>#REF!</v>
      </c>
      <c r="M57" s="26" t="e">
        <f aca="false">+#REF!</f>
        <v>#REF!</v>
      </c>
      <c r="AI57" s="1"/>
      <c r="AJ57" s="12"/>
    </row>
    <row r="58" customFormat="false" ht="15.75" hidden="false" customHeight="true" outlineLevel="0" collapsed="false">
      <c r="B58" s="12"/>
      <c r="D58" s="1" t="s">
        <v>69</v>
      </c>
      <c r="F58" s="15" t="s">
        <v>12</v>
      </c>
      <c r="G58" s="16" t="e">
        <f aca="false">#REF!</f>
        <v>#REF!</v>
      </c>
      <c r="I58" s="1"/>
      <c r="J58" s="1"/>
      <c r="K58" s="1"/>
      <c r="L58" s="1"/>
      <c r="M58" s="1"/>
      <c r="N58" s="1"/>
      <c r="AI58" s="1"/>
      <c r="AJ58" s="12"/>
    </row>
    <row r="59" customFormat="false" ht="13.8" hidden="false" customHeight="false" outlineLevel="0" collapsed="false">
      <c r="B59" s="12"/>
      <c r="C59" s="1"/>
      <c r="I59" s="1"/>
      <c r="J59" s="6" t="s">
        <v>70</v>
      </c>
      <c r="N59" s="37"/>
      <c r="AI59" s="1"/>
      <c r="AJ59" s="12"/>
    </row>
    <row r="60" customFormat="false" ht="15.75" hidden="false" customHeight="true" outlineLevel="0" collapsed="false">
      <c r="B60" s="12"/>
      <c r="C60" s="1"/>
      <c r="I60" s="1"/>
      <c r="J60" s="1" t="e">
        <f aca="false">#REF!</f>
        <v>#REF!</v>
      </c>
      <c r="K60" s="1"/>
      <c r="L60" s="15" t="s">
        <v>33</v>
      </c>
      <c r="M60" s="18" t="e">
        <f aca="false">#REF!</f>
        <v>#REF!</v>
      </c>
      <c r="N60" s="1"/>
      <c r="AI60" s="1"/>
      <c r="AJ60" s="12"/>
    </row>
    <row r="61" customFormat="false" ht="15.75" hidden="false" customHeight="true" outlineLevel="0" collapsed="false">
      <c r="B61" s="12"/>
      <c r="C61" s="1"/>
      <c r="I61" s="1"/>
      <c r="J61" s="1" t="e">
        <f aca="false">"Cash trap - "&amp;#REF!</f>
        <v>#REF!</v>
      </c>
      <c r="K61" s="1"/>
      <c r="L61" s="15" t="s">
        <v>12</v>
      </c>
      <c r="M61" s="16" t="e">
        <f aca="false">#REF!</f>
        <v>#REF!</v>
      </c>
      <c r="N61" s="1"/>
      <c r="AI61" s="1"/>
      <c r="AJ61" s="12"/>
    </row>
    <row r="62" customFormat="false" ht="15.75" hidden="false" customHeight="true" outlineLevel="0" collapsed="false">
      <c r="B62" s="12"/>
      <c r="C62" s="1"/>
      <c r="I62" s="1"/>
      <c r="J62" s="1" t="s">
        <v>71</v>
      </c>
      <c r="K62" s="1"/>
      <c r="L62" s="15" t="s">
        <v>12</v>
      </c>
      <c r="M62" s="16" t="e">
        <f aca="false">SUM(#REF!)</f>
        <v>#REF!</v>
      </c>
      <c r="N62" s="1"/>
      <c r="AI62" s="1"/>
      <c r="AJ62" s="12"/>
    </row>
    <row r="63" customFormat="false" ht="15.75" hidden="false" customHeight="true" outlineLevel="0" collapsed="false">
      <c r="B63" s="12"/>
      <c r="C63" s="1"/>
      <c r="J63" s="5" t="e">
        <f aca="false">#REF!</f>
        <v>#REF!</v>
      </c>
      <c r="L63" s="15" t="s">
        <v>12</v>
      </c>
      <c r="M63" s="16" t="e">
        <f aca="false">#REF!</f>
        <v>#REF!</v>
      </c>
      <c r="N63" s="1"/>
      <c r="AC63" s="1"/>
      <c r="AI63" s="1"/>
      <c r="AJ63" s="12"/>
    </row>
    <row r="64" customFormat="false" ht="15.75" hidden="false" customHeight="true" outlineLevel="0" collapsed="false">
      <c r="B64" s="12"/>
      <c r="C64" s="1"/>
      <c r="J64" s="1" t="s">
        <v>72</v>
      </c>
      <c r="L64" s="15" t="s">
        <v>73</v>
      </c>
      <c r="M64" s="38" t="e">
        <f aca="false">IF(S13=0,0,M63/S13)</f>
        <v>#REF!</v>
      </c>
      <c r="N64" s="1"/>
      <c r="AI64" s="1"/>
      <c r="AJ64" s="12"/>
    </row>
    <row r="65" customFormat="false" ht="15.75" hidden="false" customHeight="true" outlineLevel="0" collapsed="false">
      <c r="B65" s="12"/>
      <c r="C65" s="1"/>
      <c r="J65" s="5" t="s">
        <v>74</v>
      </c>
      <c r="L65" s="15" t="s">
        <v>12</v>
      </c>
      <c r="M65" s="16" t="e">
        <f aca="false">#REF!</f>
        <v>#REF!</v>
      </c>
      <c r="N65" s="1"/>
      <c r="AC65" s="1"/>
      <c r="AI65" s="1"/>
      <c r="AJ65" s="12"/>
    </row>
    <row r="66" customFormat="false" ht="13.8" hidden="false" customHeight="false" outlineLevel="0" collapsed="false">
      <c r="B66" s="12"/>
      <c r="C66" s="1"/>
      <c r="J66" s="1" t="s">
        <v>72</v>
      </c>
      <c r="L66" s="15" t="s">
        <v>73</v>
      </c>
      <c r="M66" s="38" t="e">
        <f aca="false">IF(S14=0,0,M65/S14)</f>
        <v>#REF!</v>
      </c>
      <c r="N66" s="1"/>
      <c r="AI66" s="1"/>
      <c r="AJ66" s="12"/>
    </row>
    <row r="67" customFormat="false" ht="15.75" hidden="false" customHeight="true" outlineLevel="0" collapsed="false">
      <c r="B67" s="12"/>
      <c r="N67" s="1"/>
      <c r="AJ67" s="12"/>
    </row>
    <row r="68" customFormat="false" ht="15.75" hidden="false" customHeight="true" outlineLevel="0" collapsed="false">
      <c r="B68" s="12"/>
      <c r="N68" s="1"/>
      <c r="AJ68" s="12"/>
    </row>
    <row r="69" customFormat="false" ht="15.75" hidden="false" customHeight="true" outlineLevel="0" collapsed="false">
      <c r="B69" s="12"/>
      <c r="N69" s="1"/>
      <c r="AJ69" s="12"/>
    </row>
    <row r="70" customFormat="false" ht="15.75" hidden="false" customHeight="true" outlineLevel="0" collapsed="false">
      <c r="B70" s="12"/>
      <c r="N70" s="1"/>
      <c r="AJ70" s="12"/>
    </row>
    <row r="71" customFormat="false" ht="13.8" hidden="false" customHeight="false" outlineLevel="0" collapsed="false">
      <c r="B71" s="12"/>
      <c r="C71" s="1"/>
      <c r="N71" s="1"/>
      <c r="AI71" s="1"/>
      <c r="AJ71" s="12"/>
    </row>
    <row r="72" customFormat="false" ht="13.8" hidden="false" customHeight="false" outlineLevel="0" collapsed="false">
      <c r="B72" s="12"/>
      <c r="C72" s="1"/>
      <c r="N72" s="1"/>
      <c r="AC72" s="1"/>
      <c r="AI72" s="1"/>
      <c r="AJ72" s="12"/>
    </row>
    <row r="73" customFormat="false" ht="13.8" hidden="false" customHeight="false" outlineLevel="0" collapsed="false">
      <c r="B73" s="12"/>
      <c r="C73" s="1"/>
      <c r="N73" s="1"/>
      <c r="AI73" s="1"/>
      <c r="AJ73" s="12"/>
    </row>
    <row r="74" customFormat="false" ht="13.8" hidden="false" customHeight="false" outlineLevel="0" collapsed="false">
      <c r="B74" s="12"/>
      <c r="C74" s="1"/>
      <c r="K74" s="1"/>
      <c r="L74" s="1"/>
      <c r="M74" s="1"/>
      <c r="N74" s="1"/>
      <c r="AC74" s="1"/>
      <c r="AI74" s="1"/>
      <c r="AJ74" s="12"/>
    </row>
    <row r="75" customFormat="false" ht="13.8" hidden="false" customHeight="false" outlineLevel="0" collapsed="false">
      <c r="B75" s="12"/>
      <c r="C75" s="1"/>
      <c r="K75" s="1"/>
      <c r="L75" s="1"/>
      <c r="M75" s="1"/>
      <c r="N75" s="1"/>
      <c r="AI75" s="1"/>
      <c r="AJ75" s="12"/>
    </row>
    <row r="76" customFormat="false" ht="13.8" hidden="false" customHeight="false" outlineLevel="0" collapsed="false">
      <c r="B76" s="12"/>
      <c r="C76" s="1"/>
      <c r="K76" s="1"/>
      <c r="L76" s="1"/>
      <c r="M76" s="1"/>
      <c r="N76" s="1"/>
      <c r="AI76" s="1"/>
      <c r="AJ76" s="12"/>
    </row>
    <row r="77" customFormat="false" ht="13.8" hidden="false" customHeight="false" outlineLevel="0" collapsed="false">
      <c r="B77" s="12"/>
      <c r="C77" s="1"/>
      <c r="K77" s="1"/>
      <c r="L77" s="1"/>
      <c r="M77" s="1"/>
      <c r="N77" s="1"/>
      <c r="AI77" s="1"/>
      <c r="AJ77" s="12"/>
    </row>
    <row r="78" customFormat="false" ht="13.8" hidden="false" customHeight="false" outlineLevel="0" collapsed="false">
      <c r="B78" s="12"/>
      <c r="C78" s="1"/>
      <c r="K78" s="1"/>
      <c r="L78" s="1"/>
      <c r="M78" s="1"/>
      <c r="N78" s="1"/>
      <c r="AI78" s="1"/>
      <c r="AJ78" s="12"/>
    </row>
    <row r="79" customFormat="false" ht="13.8" hidden="false" customHeight="false" outlineLevel="0" collapsed="false">
      <c r="B79" s="12"/>
      <c r="C79" s="1"/>
      <c r="K79" s="1"/>
      <c r="L79" s="1"/>
      <c r="M79" s="1"/>
      <c r="N79" s="1"/>
      <c r="AI79" s="1"/>
      <c r="AJ79" s="12"/>
    </row>
    <row r="80" customFormat="false" ht="13.8" hidden="false" customHeight="false" outlineLevel="0" collapsed="false">
      <c r="B80" s="12"/>
      <c r="C80" s="1"/>
      <c r="K80" s="1"/>
      <c r="L80" s="1"/>
      <c r="M80" s="1"/>
      <c r="N80" s="1"/>
      <c r="AI80" s="1"/>
      <c r="AJ80" s="12"/>
    </row>
    <row r="81" customFormat="false" ht="13.8" hidden="false" customHeight="false" outlineLevel="0" collapsed="false">
      <c r="B81" s="12"/>
      <c r="C81" s="1"/>
      <c r="D81" s="1"/>
      <c r="E81" s="1"/>
      <c r="F81" s="1"/>
      <c r="G81" s="1"/>
      <c r="H81" s="1"/>
      <c r="I81" s="1"/>
      <c r="J81" s="1"/>
      <c r="K81" s="1"/>
      <c r="L81" s="1"/>
      <c r="M81" s="1"/>
      <c r="N81" s="1"/>
      <c r="AC81" s="1"/>
      <c r="AI81" s="1"/>
      <c r="AJ81" s="12"/>
    </row>
    <row r="82" customFormat="false" ht="13.8" hidden="false" customHeight="false" outlineLevel="0" collapsed="false">
      <c r="B82" s="12"/>
      <c r="C82" s="1"/>
      <c r="D82" s="1"/>
      <c r="E82" s="1"/>
      <c r="F82" s="1"/>
      <c r="G82" s="1"/>
      <c r="H82" s="1"/>
      <c r="I82" s="1"/>
      <c r="J82" s="1"/>
      <c r="K82" s="1"/>
      <c r="L82" s="1"/>
      <c r="M82" s="1"/>
      <c r="N82" s="1"/>
      <c r="O82" s="1"/>
      <c r="T82" s="1"/>
      <c r="Z82" s="1"/>
      <c r="AA82" s="1"/>
      <c r="AB82" s="1"/>
      <c r="AC82" s="1"/>
      <c r="AD82" s="1"/>
      <c r="AE82" s="1"/>
      <c r="AF82" s="1"/>
      <c r="AG82" s="1"/>
      <c r="AH82" s="1"/>
      <c r="AI82" s="1"/>
      <c r="AJ82" s="12"/>
    </row>
    <row r="83" customFormat="false" ht="13.8" hidden="false" customHeight="false" outlineLevel="0" collapsed="false">
      <c r="B83" s="12"/>
      <c r="C83" s="1"/>
      <c r="D83" s="1"/>
      <c r="E83" s="1"/>
      <c r="F83" s="1"/>
      <c r="G83" s="1"/>
      <c r="H83" s="1"/>
      <c r="I83" s="1"/>
      <c r="J83" s="1"/>
      <c r="K83" s="1"/>
      <c r="L83" s="1"/>
      <c r="M83" s="1"/>
      <c r="N83" s="1"/>
      <c r="O83" s="1"/>
      <c r="T83" s="1"/>
      <c r="Z83" s="1"/>
      <c r="AA83" s="1"/>
      <c r="AB83" s="1"/>
      <c r="AC83" s="1"/>
      <c r="AD83" s="1"/>
      <c r="AE83" s="1"/>
      <c r="AF83" s="1"/>
      <c r="AG83" s="1"/>
      <c r="AH83" s="1"/>
      <c r="AI83" s="1"/>
      <c r="AJ83" s="12"/>
    </row>
    <row r="84" customFormat="false" ht="13.8" hidden="false" customHeight="false" outlineLevel="0" collapsed="false">
      <c r="B84" s="12"/>
      <c r="C84" s="1"/>
      <c r="D84" s="1"/>
      <c r="E84" s="1"/>
      <c r="F84" s="1"/>
      <c r="G84" s="1"/>
      <c r="H84" s="1"/>
      <c r="I84" s="1"/>
      <c r="J84" s="1"/>
      <c r="K84" s="1"/>
      <c r="L84" s="1"/>
      <c r="M84" s="1"/>
      <c r="N84" s="1"/>
      <c r="O84" s="1"/>
      <c r="T84" s="1"/>
      <c r="Z84" s="1"/>
      <c r="AA84" s="1"/>
      <c r="AB84" s="1"/>
      <c r="AC84" s="1"/>
      <c r="AD84" s="1"/>
      <c r="AE84" s="1"/>
      <c r="AF84" s="1"/>
      <c r="AG84" s="1"/>
      <c r="AH84" s="1"/>
      <c r="AI84" s="1"/>
      <c r="AJ84" s="12"/>
    </row>
    <row r="85" customFormat="false" ht="13.8" hidden="false" customHeight="false" outlineLevel="0" collapsed="false">
      <c r="B85" s="12"/>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2"/>
    </row>
    <row r="86" customFormat="false" ht="6" hidden="false" customHeight="true" outlineLevel="0" collapsed="false">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row>
    <row r="87" customFormat="false" ht="13.8" hidden="false" customHeight="false" outlineLevel="0" collapsed="false">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customFormat="false" ht="6" hidden="false" customHeight="true" outlineLevel="0" collapsed="false">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row>
    <row r="89" customFormat="false" ht="13.8" hidden="false" customHeight="false" outlineLevel="0" collapsed="false">
      <c r="B89" s="12"/>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2"/>
    </row>
    <row r="90" customFormat="false" ht="13.8" hidden="false" customHeight="false" outlineLevel="0" collapsed="false">
      <c r="B90" s="12"/>
      <c r="C90" s="1"/>
      <c r="D90" s="6" t="s">
        <v>75</v>
      </c>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2"/>
    </row>
    <row r="91" customFormat="false" ht="13.8" hidden="false" customHeight="false" outlineLevel="0" collapsed="false">
      <c r="B91" s="12"/>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2"/>
    </row>
    <row r="92" customFormat="false" ht="13.8" hidden="false" customHeight="false" outlineLevel="0" collapsed="false">
      <c r="B92" s="12"/>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2"/>
    </row>
    <row r="93" customFormat="false" ht="13.8" hidden="false" customHeight="false" outlineLevel="0" collapsed="false">
      <c r="B93" s="12"/>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2"/>
    </row>
    <row r="94" customFormat="false" ht="13.8" hidden="false" customHeight="false" outlineLevel="0" collapsed="false">
      <c r="B94" s="12"/>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
    </row>
    <row r="95" customFormat="false" ht="13.8" hidden="false" customHeight="false" outlineLevel="0" collapsed="false">
      <c r="B95" s="12"/>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
    </row>
    <row r="96" customFormat="false" ht="13.8" hidden="false" customHeight="false" outlineLevel="0" collapsed="false">
      <c r="B96" s="12"/>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2"/>
    </row>
    <row r="97" customFormat="false" ht="13.8" hidden="false" customHeight="false" outlineLevel="0" collapsed="false">
      <c r="B97" s="12"/>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2"/>
    </row>
    <row r="98" customFormat="false" ht="13.8" hidden="false" customHeight="false" outlineLevel="0" collapsed="false">
      <c r="B98" s="12"/>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2"/>
    </row>
    <row r="99" customFormat="false" ht="13.8" hidden="false" customHeight="false" outlineLevel="0" collapsed="false">
      <c r="B99" s="12"/>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2"/>
    </row>
    <row r="100" customFormat="false" ht="13.8" hidden="false" customHeight="false" outlineLevel="0" collapsed="false">
      <c r="B100" s="1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2"/>
    </row>
    <row r="101" customFormat="false" ht="13.8" hidden="false" customHeight="false" outlineLevel="0" collapsed="false">
      <c r="B101" s="1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2"/>
    </row>
    <row r="102" customFormat="false" ht="13.8" hidden="false" customHeight="false" outlineLevel="0" collapsed="false">
      <c r="B102" s="1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2"/>
    </row>
    <row r="103" customFormat="false" ht="13.8" hidden="false" customHeight="false" outlineLevel="0" collapsed="false">
      <c r="B103" s="1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2"/>
    </row>
    <row r="104" customFormat="false" ht="13.8" hidden="false" customHeight="false" outlineLevel="0" collapsed="false">
      <c r="B104" s="1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2"/>
    </row>
    <row r="105" customFormat="false" ht="13.8" hidden="false" customHeight="false" outlineLevel="0" collapsed="false">
      <c r="B105" s="1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2"/>
    </row>
    <row r="106" customFormat="false" ht="13.8" hidden="false" customHeight="false" outlineLevel="0" collapsed="false">
      <c r="B106" s="1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2"/>
    </row>
    <row r="107" customFormat="false" ht="13.8" hidden="false" customHeight="false" outlineLevel="0" collapsed="false">
      <c r="B107" s="1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2"/>
    </row>
    <row r="108" customFormat="false" ht="13.8" hidden="false" customHeight="false" outlineLevel="0" collapsed="false">
      <c r="B108" s="1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2"/>
    </row>
    <row r="109" customFormat="false" ht="13.8" hidden="false" customHeight="false" outlineLevel="0" collapsed="false">
      <c r="B109" s="1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2"/>
    </row>
    <row r="110" customFormat="false" ht="13.8" hidden="false" customHeight="false" outlineLevel="0" collapsed="false">
      <c r="B110" s="1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2"/>
    </row>
    <row r="111" customFormat="false" ht="13.8" hidden="false" customHeight="false" outlineLevel="0" collapsed="false">
      <c r="B111" s="1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2"/>
    </row>
    <row r="112" customFormat="false" ht="13.8" hidden="false" customHeight="false" outlineLevel="0" collapsed="false">
      <c r="B112" s="1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2"/>
    </row>
    <row r="113" customFormat="false" ht="13.8" hidden="false" customHeight="false" outlineLevel="0" collapsed="false">
      <c r="B113" s="1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2"/>
    </row>
    <row r="114" customFormat="false" ht="13.8" hidden="false" customHeight="false" outlineLevel="0" collapsed="false">
      <c r="B114" s="1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2"/>
    </row>
    <row r="115" customFormat="false" ht="13.8" hidden="false" customHeight="false" outlineLevel="0" collapsed="false">
      <c r="B115" s="1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2"/>
    </row>
    <row r="116" customFormat="false" ht="13.8" hidden="false" customHeight="false" outlineLevel="0" collapsed="false">
      <c r="B116" s="1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2"/>
    </row>
    <row r="117" customFormat="false" ht="13.8" hidden="false" customHeight="false" outlineLevel="0" collapsed="false">
      <c r="B117" s="1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2"/>
    </row>
    <row r="118" customFormat="false" ht="13.8" hidden="false" customHeight="false" outlineLevel="0" collapsed="false">
      <c r="B118" s="1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2"/>
    </row>
    <row r="119" customFormat="false" ht="13.8" hidden="false" customHeight="false" outlineLevel="0" collapsed="false">
      <c r="B119" s="1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2"/>
    </row>
    <row r="120" customFormat="false" ht="13.8" hidden="false" customHeight="false" outlineLevel="0" collapsed="false">
      <c r="B120" s="1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2"/>
    </row>
    <row r="121" customFormat="false" ht="13.8" hidden="false" customHeight="false" outlineLevel="0" collapsed="false">
      <c r="B121" s="1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2"/>
    </row>
    <row r="122" customFormat="false" ht="13.8" hidden="false" customHeight="false" outlineLevel="0" collapsed="false">
      <c r="B122" s="1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2"/>
    </row>
    <row r="123" customFormat="false" ht="13.8" hidden="false" customHeight="false" outlineLevel="0" collapsed="false">
      <c r="B123" s="1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2"/>
    </row>
    <row r="124" customFormat="false" ht="13.8" hidden="false" customHeight="false" outlineLevel="0" collapsed="false">
      <c r="B124" s="1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2"/>
    </row>
    <row r="125" customFormat="false" ht="13.8" hidden="false" customHeight="false" outlineLevel="0" collapsed="false">
      <c r="B125" s="1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2"/>
    </row>
    <row r="126" customFormat="false" ht="13.8" hidden="false" customHeight="false" outlineLevel="0" collapsed="false">
      <c r="B126" s="1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2"/>
    </row>
    <row r="127" customFormat="false" ht="13.8" hidden="false" customHeight="false" outlineLevel="0" collapsed="false">
      <c r="B127" s="1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2"/>
    </row>
    <row r="128" customFormat="false" ht="13.8" hidden="false" customHeight="false" outlineLevel="0" collapsed="false">
      <c r="B128" s="1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2"/>
    </row>
    <row r="129" customFormat="false" ht="13.8" hidden="false" customHeight="false" outlineLevel="0" collapsed="false">
      <c r="B129" s="1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2"/>
    </row>
    <row r="130" customFormat="false" ht="13.8" hidden="false" customHeight="false" outlineLevel="0" collapsed="false">
      <c r="B130" s="1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2"/>
    </row>
    <row r="131" customFormat="false" ht="6" hidden="false" customHeight="true" outlineLevel="0" collapsed="false">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row>
    <row r="132" customFormat="false" ht="13.8" hidden="false" customHeight="false" outlineLevel="0" collapsed="false">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customFormat="false" ht="6" hidden="false" customHeight="true" outlineLevel="0" collapsed="false">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row>
    <row r="134" customFormat="false" ht="13.8" hidden="false" customHeight="false" outlineLevel="0" collapsed="false">
      <c r="B134" s="1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I134" s="1"/>
      <c r="AJ134" s="12"/>
    </row>
    <row r="135" customFormat="false" ht="13.8" hidden="false" customHeight="false" outlineLevel="0" collapsed="false">
      <c r="B135" s="12"/>
      <c r="C135" s="1"/>
      <c r="D135" s="39" t="s">
        <v>76</v>
      </c>
      <c r="E135" s="1"/>
      <c r="F135" s="1"/>
      <c r="G135" s="1"/>
      <c r="H135" s="1"/>
      <c r="I135" s="1"/>
      <c r="J135" s="1"/>
      <c r="K135" s="1"/>
      <c r="L135" s="1"/>
      <c r="M135" s="1"/>
      <c r="N135" s="1"/>
      <c r="O135" s="1"/>
      <c r="P135" s="1"/>
      <c r="Q135" s="1"/>
      <c r="R135" s="1"/>
      <c r="S135" s="1"/>
      <c r="T135" s="1"/>
      <c r="W135" s="1"/>
      <c r="Y135" s="1"/>
      <c r="AB135" s="15" t="s">
        <v>77</v>
      </c>
      <c r="AC135" s="10" t="str">
        <f aca="false">IF(sensi=1,INDEX(AC140:AC164,$I$139,)=AC139,"n/a")</f>
        <v>n/a</v>
      </c>
      <c r="AD135" s="10" t="str">
        <f aca="false">IF(sensi=1,INDEX(AD140:AD164,$I$139,)=AD139,"n/a")</f>
        <v>n/a</v>
      </c>
      <c r="AE135" s="10" t="str">
        <f aca="false">IF(sensi=1,INDEX(AE140:AE164,$I$139,)=AE139,"n/a")</f>
        <v>n/a</v>
      </c>
      <c r="AF135" s="10" t="str">
        <f aca="false">IF(sensi=1,INDEX(AF140:AF164,$I$139,)=AF139,"n/a")</f>
        <v>n/a</v>
      </c>
      <c r="AG135" s="10" t="str">
        <f aca="false">IF(sensi=1,INDEX(AG140:AG164,$I$139,)=AG139,"n/a")</f>
        <v>n/a</v>
      </c>
      <c r="AJ135" s="12"/>
    </row>
    <row r="136" customFormat="false" ht="13.8" hidden="false" customHeight="false" outlineLevel="0" collapsed="false">
      <c r="B136" s="12"/>
      <c r="C136" s="1"/>
      <c r="D136" s="1"/>
      <c r="E136" s="1"/>
      <c r="F136" s="1"/>
      <c r="G136" s="1"/>
      <c r="H136" s="1"/>
      <c r="I136" s="1"/>
      <c r="J136" s="1"/>
      <c r="K136" s="1"/>
      <c r="L136" s="1"/>
      <c r="M136" s="1"/>
      <c r="N136" s="1"/>
      <c r="O136" s="1"/>
      <c r="P136" s="1"/>
      <c r="Q136" s="1"/>
      <c r="R136" s="1"/>
      <c r="S136" s="1"/>
      <c r="T136" s="1"/>
      <c r="U136" s="1"/>
      <c r="V136" s="1"/>
      <c r="W136" s="1"/>
      <c r="Z136" s="1"/>
      <c r="AA136" s="1"/>
      <c r="AB136" s="1"/>
      <c r="AC136" s="1"/>
      <c r="AD136" s="1"/>
      <c r="AE136" s="1"/>
      <c r="AF136" s="1"/>
      <c r="AJ136" s="12"/>
    </row>
    <row r="137" customFormat="false" ht="13.8" hidden="false" customHeight="false" outlineLevel="0" collapsed="false">
      <c r="A137" s="40" t="s">
        <v>78</v>
      </c>
      <c r="B137" s="12"/>
      <c r="C137" s="1"/>
      <c r="D137" s="14" t="s">
        <v>79</v>
      </c>
      <c r="E137" s="1"/>
      <c r="F137" s="15" t="s">
        <v>80</v>
      </c>
      <c r="G137" s="41" t="n">
        <v>2</v>
      </c>
      <c r="H137" s="1"/>
      <c r="I137" s="42"/>
      <c r="J137" s="43" t="s">
        <v>81</v>
      </c>
      <c r="K137" s="44"/>
      <c r="L137" s="44"/>
      <c r="M137" s="44" t="s">
        <v>82</v>
      </c>
      <c r="N137" s="44" t="s">
        <v>83</v>
      </c>
      <c r="O137" s="44" t="s">
        <v>84</v>
      </c>
      <c r="P137" s="44" t="s">
        <v>85</v>
      </c>
      <c r="Q137" s="44" t="s">
        <v>86</v>
      </c>
      <c r="R137" s="44" t="s">
        <v>87</v>
      </c>
      <c r="S137" s="44" t="s">
        <v>88</v>
      </c>
      <c r="T137" s="44" t="s">
        <v>89</v>
      </c>
      <c r="U137" s="44" t="s">
        <v>90</v>
      </c>
      <c r="V137" s="44" t="s">
        <v>91</v>
      </c>
      <c r="W137" s="44" t="s">
        <v>92</v>
      </c>
      <c r="X137" s="44" t="s">
        <v>93</v>
      </c>
      <c r="Y137" s="44" t="s">
        <v>94</v>
      </c>
      <c r="Z137" s="44" t="s">
        <v>95</v>
      </c>
      <c r="AA137" s="44" t="s">
        <v>96</v>
      </c>
      <c r="AB137" s="44" t="s">
        <v>97</v>
      </c>
      <c r="AC137" s="45" t="s">
        <v>98</v>
      </c>
      <c r="AD137" s="45" t="s">
        <v>99</v>
      </c>
      <c r="AE137" s="45" t="s">
        <v>47</v>
      </c>
      <c r="AF137" s="45" t="s">
        <v>100</v>
      </c>
      <c r="AG137" s="46" t="s">
        <v>101</v>
      </c>
      <c r="AJ137" s="12"/>
    </row>
    <row r="138" customFormat="false" ht="13.8" hidden="false" customHeight="false" outlineLevel="0" collapsed="false">
      <c r="A138" s="40" t="s">
        <v>102</v>
      </c>
      <c r="B138" s="12"/>
      <c r="C138" s="1"/>
      <c r="D138" s="5" t="s">
        <v>91</v>
      </c>
      <c r="F138" s="15" t="s">
        <v>32</v>
      </c>
      <c r="G138" s="41" t="n">
        <v>3</v>
      </c>
      <c r="H138" s="1"/>
      <c r="I138" s="47"/>
      <c r="J138" s="1"/>
      <c r="K138" s="1"/>
      <c r="L138" s="1"/>
      <c r="M138" s="15" t="s">
        <v>103</v>
      </c>
      <c r="N138" s="15" t="s">
        <v>104</v>
      </c>
      <c r="O138" s="15" t="s">
        <v>33</v>
      </c>
      <c r="P138" s="15" t="s">
        <v>33</v>
      </c>
      <c r="Q138" s="15" t="s">
        <v>104</v>
      </c>
      <c r="R138" s="15" t="s">
        <v>87</v>
      </c>
      <c r="S138" s="15" t="s">
        <v>105</v>
      </c>
      <c r="T138" s="15" t="s">
        <v>106</v>
      </c>
      <c r="U138" s="15" t="s">
        <v>103</v>
      </c>
      <c r="V138" s="15" t="s">
        <v>107</v>
      </c>
      <c r="W138" s="15" t="s">
        <v>107</v>
      </c>
      <c r="X138" s="15" t="s">
        <v>25</v>
      </c>
      <c r="Y138" s="15" t="s">
        <v>108</v>
      </c>
      <c r="Z138" s="15" t="s">
        <v>109</v>
      </c>
      <c r="AA138" s="15" t="s">
        <v>108</v>
      </c>
      <c r="AB138" s="15" t="s">
        <v>109</v>
      </c>
      <c r="AC138" s="15" t="s">
        <v>43</v>
      </c>
      <c r="AD138" s="15" t="s">
        <v>43</v>
      </c>
      <c r="AE138" s="15" t="s">
        <v>43</v>
      </c>
      <c r="AF138" s="15" t="s">
        <v>12</v>
      </c>
      <c r="AG138" s="48" t="s">
        <v>12</v>
      </c>
      <c r="AJ138" s="12"/>
    </row>
    <row r="139" customFormat="false" ht="14.9" hidden="false" customHeight="false" outlineLevel="0" collapsed="false">
      <c r="A139" s="40" t="s">
        <v>110</v>
      </c>
      <c r="B139" s="12"/>
      <c r="C139" s="1"/>
      <c r="D139" s="5" t="s">
        <v>92</v>
      </c>
      <c r="F139" s="15" t="s">
        <v>32</v>
      </c>
      <c r="G139" s="41" t="n">
        <v>4</v>
      </c>
      <c r="H139" s="1"/>
      <c r="I139" s="49" t="n">
        <v>15</v>
      </c>
      <c r="J139" s="1"/>
      <c r="K139" s="1"/>
      <c r="L139" s="1"/>
      <c r="M139" s="50" t="n">
        <f aca="false">INDEX(M140:M164,$I$139,)</f>
        <v>0</v>
      </c>
      <c r="N139" s="50" t="n">
        <f aca="false">INDEX(N140:N164,$I$139,)</f>
        <v>0</v>
      </c>
      <c r="O139" s="50" t="n">
        <f aca="false">INDEX(O140:O164,$I$139,)</f>
        <v>0</v>
      </c>
      <c r="P139" s="50" t="n">
        <f aca="false">INDEX(P140:P164,$I$139,)</f>
        <v>0</v>
      </c>
      <c r="Q139" s="50" t="n">
        <f aca="false">INDEX(Q140:Q164,$I$139,)</f>
        <v>0</v>
      </c>
      <c r="R139" s="51" t="n">
        <f aca="false">INDEX(R140:R164,$I$139,)</f>
        <v>0</v>
      </c>
      <c r="S139" s="52" t="n">
        <f aca="false">INDEX(S140:S164,$I$139,)</f>
        <v>0</v>
      </c>
      <c r="T139" s="53" t="n">
        <f aca="false">INDEX(T140:T164,$I$139,)</f>
        <v>0</v>
      </c>
      <c r="U139" s="50" t="n">
        <f aca="false">INDEX(U140:U164,$I$139,)</f>
        <v>0</v>
      </c>
      <c r="V139" s="54" t="n">
        <f aca="false">INDEX(V140:V164,$I$139,)</f>
        <v>0</v>
      </c>
      <c r="W139" s="54" t="n">
        <f aca="false">INDEX(W140:W164,$I$139,)</f>
        <v>0</v>
      </c>
      <c r="X139" s="55" t="n">
        <f aca="false">INDEX(X140:X164,$I$139,)</f>
        <v>0</v>
      </c>
      <c r="Y139" s="53" t="n">
        <f aca="false">INDEX(Y140:Y164,$I$139,)</f>
        <v>0</v>
      </c>
      <c r="Z139" s="56" t="n">
        <f aca="false" t="array" ref="Z139:Z139">INDEX(Z140:Z164,$I$139,)=TRUE()</f>
        <v>0</v>
      </c>
      <c r="AA139" s="53" t="n">
        <f aca="false">INDEX(AA140:AA164,$I$139,)</f>
        <v>0</v>
      </c>
      <c r="AB139" s="56" t="n">
        <f aca="false" t="array" ref="AB139:AB139">INDEX(AB140:AB164,$I$139,)=TRUE()</f>
        <v>0</v>
      </c>
      <c r="AC139" s="57" t="e">
        <f aca="false">M42</f>
        <v>#REF!</v>
      </c>
      <c r="AD139" s="58" t="e">
        <f aca="false">M43</f>
        <v>#REF!</v>
      </c>
      <c r="AE139" s="58" t="e">
        <f aca="false">M44</f>
        <v>#REF!</v>
      </c>
      <c r="AF139" s="59" t="e">
        <f aca="false">#REF!-#REF!</f>
        <v>#REF!</v>
      </c>
      <c r="AG139" s="60" t="e">
        <f aca="false">M46</f>
        <v>#REF!</v>
      </c>
      <c r="AJ139" s="12"/>
    </row>
    <row r="140" customFormat="false" ht="13.8" hidden="false" customHeight="false" outlineLevel="0" collapsed="false">
      <c r="A140" s="40" t="s">
        <v>111</v>
      </c>
      <c r="B140" s="12"/>
      <c r="C140" s="1"/>
      <c r="D140" s="14" t="s">
        <v>81</v>
      </c>
      <c r="E140" s="1"/>
      <c r="F140" s="15" t="s">
        <v>32</v>
      </c>
      <c r="G140" s="61" t="n">
        <v>5</v>
      </c>
      <c r="H140" s="1"/>
      <c r="I140" s="62" t="n">
        <v>1</v>
      </c>
      <c r="J140" s="1" t="s">
        <v>112</v>
      </c>
      <c r="K140" s="1"/>
      <c r="L140" s="1"/>
      <c r="M140" s="63"/>
      <c r="N140" s="63"/>
      <c r="O140" s="63"/>
      <c r="P140" s="63"/>
      <c r="Q140" s="63"/>
      <c r="R140" s="64"/>
      <c r="S140" s="64"/>
      <c r="T140" s="64"/>
      <c r="U140" s="63"/>
      <c r="V140" s="65"/>
      <c r="W140" s="65"/>
      <c r="X140" s="66"/>
      <c r="Y140" s="67"/>
      <c r="Z140" s="63"/>
      <c r="AA140" s="67"/>
      <c r="AB140" s="63"/>
      <c r="AC140" s="68"/>
      <c r="AD140" s="68"/>
      <c r="AE140" s="68"/>
      <c r="AF140" s="33"/>
      <c r="AG140" s="69" t="n">
        <v>0</v>
      </c>
      <c r="AJ140" s="12"/>
    </row>
    <row r="141" customFormat="false" ht="13.8" hidden="false" customHeight="false" outlineLevel="0" collapsed="false">
      <c r="A141" s="40" t="s">
        <v>113</v>
      </c>
      <c r="B141" s="12"/>
      <c r="C141" s="1"/>
      <c r="D141" s="1" t="s">
        <v>114</v>
      </c>
      <c r="E141" s="1"/>
      <c r="F141" s="15" t="s">
        <v>32</v>
      </c>
      <c r="G141" s="61" t="n">
        <v>6</v>
      </c>
      <c r="H141" s="1"/>
      <c r="I141" s="62" t="n">
        <v>2</v>
      </c>
      <c r="J141" s="1" t="s">
        <v>112</v>
      </c>
      <c r="K141" s="1"/>
      <c r="L141" s="1"/>
      <c r="M141" s="63"/>
      <c r="N141" s="63"/>
      <c r="O141" s="63"/>
      <c r="P141" s="63"/>
      <c r="Q141" s="63"/>
      <c r="R141" s="64"/>
      <c r="S141" s="64"/>
      <c r="T141" s="64"/>
      <c r="U141" s="63"/>
      <c r="V141" s="65"/>
      <c r="W141" s="65"/>
      <c r="X141" s="66"/>
      <c r="Y141" s="67"/>
      <c r="Z141" s="63"/>
      <c r="AA141" s="67"/>
      <c r="AB141" s="63"/>
      <c r="AC141" s="68"/>
      <c r="AD141" s="68"/>
      <c r="AE141" s="68"/>
      <c r="AF141" s="33"/>
      <c r="AG141" s="70" t="n">
        <v>0</v>
      </c>
      <c r="AH141" s="14" t="s">
        <v>115</v>
      </c>
      <c r="AJ141" s="12"/>
    </row>
    <row r="142" customFormat="false" ht="13.8" hidden="false" customHeight="false" outlineLevel="0" collapsed="false">
      <c r="A142" s="40" t="s">
        <v>116</v>
      </c>
      <c r="B142" s="12"/>
      <c r="C142" s="1"/>
      <c r="D142" s="1" t="s">
        <v>117</v>
      </c>
      <c r="E142" s="1"/>
      <c r="F142" s="15" t="s">
        <v>32</v>
      </c>
      <c r="G142" s="41" t="n">
        <v>7</v>
      </c>
      <c r="H142" s="1"/>
      <c r="I142" s="62" t="n">
        <v>3</v>
      </c>
      <c r="J142" s="1" t="s">
        <v>112</v>
      </c>
      <c r="K142" s="1"/>
      <c r="L142" s="1"/>
      <c r="M142" s="63"/>
      <c r="N142" s="63"/>
      <c r="O142" s="63"/>
      <c r="P142" s="63"/>
      <c r="Q142" s="63"/>
      <c r="R142" s="64"/>
      <c r="S142" s="64"/>
      <c r="T142" s="64"/>
      <c r="U142" s="63"/>
      <c r="V142" s="65"/>
      <c r="W142" s="65"/>
      <c r="X142" s="66"/>
      <c r="Y142" s="67"/>
      <c r="Z142" s="63"/>
      <c r="AA142" s="67"/>
      <c r="AB142" s="63"/>
      <c r="AC142" s="68"/>
      <c r="AD142" s="68"/>
      <c r="AE142" s="68"/>
      <c r="AF142" s="33"/>
      <c r="AG142" s="70" t="n">
        <v>0</v>
      </c>
      <c r="AH142" s="10" t="e">
        <f aca="false">Calage_MDRA_sweep</f>
        <v>#NAME?</v>
      </c>
      <c r="AJ142" s="12"/>
    </row>
    <row r="143" customFormat="false" ht="13.8" hidden="false" customHeight="false" outlineLevel="0" collapsed="false">
      <c r="A143" s="40" t="s">
        <v>118</v>
      </c>
      <c r="B143" s="12"/>
      <c r="C143" s="1"/>
      <c r="D143" s="14" t="s">
        <v>119</v>
      </c>
      <c r="E143" s="1"/>
      <c r="F143" s="15" t="s">
        <v>32</v>
      </c>
      <c r="G143" s="61" t="n">
        <v>8</v>
      </c>
      <c r="H143" s="1"/>
      <c r="I143" s="62" t="n">
        <v>4</v>
      </c>
      <c r="J143" s="1" t="s">
        <v>112</v>
      </c>
      <c r="K143" s="1"/>
      <c r="L143" s="1"/>
      <c r="M143" s="63"/>
      <c r="N143" s="63"/>
      <c r="O143" s="63"/>
      <c r="P143" s="63"/>
      <c r="Q143" s="63"/>
      <c r="R143" s="64"/>
      <c r="S143" s="64"/>
      <c r="T143" s="64"/>
      <c r="U143" s="63"/>
      <c r="V143" s="65"/>
      <c r="W143" s="65"/>
      <c r="X143" s="66"/>
      <c r="Y143" s="67"/>
      <c r="Z143" s="63"/>
      <c r="AA143" s="67"/>
      <c r="AB143" s="63"/>
      <c r="AC143" s="68"/>
      <c r="AD143" s="68"/>
      <c r="AE143" s="68"/>
      <c r="AF143" s="33"/>
      <c r="AG143" s="70" t="n">
        <v>0</v>
      </c>
      <c r="AJ143" s="12"/>
    </row>
    <row r="144" customFormat="false" ht="13.8" hidden="false" customHeight="false" outlineLevel="0" collapsed="false">
      <c r="A144" s="40" t="s">
        <v>120</v>
      </c>
      <c r="B144" s="12"/>
      <c r="C144" s="1"/>
      <c r="D144" s="1" t="s">
        <v>121</v>
      </c>
      <c r="E144" s="1"/>
      <c r="F144" s="15" t="s">
        <v>32</v>
      </c>
      <c r="G144" s="61" t="n">
        <v>9</v>
      </c>
      <c r="H144" s="1"/>
      <c r="I144" s="62" t="n">
        <v>5</v>
      </c>
      <c r="J144" s="1" t="s">
        <v>112</v>
      </c>
      <c r="K144" s="1"/>
      <c r="L144" s="1"/>
      <c r="M144" s="63"/>
      <c r="N144" s="63"/>
      <c r="O144" s="63"/>
      <c r="P144" s="63"/>
      <c r="Q144" s="63"/>
      <c r="R144" s="64"/>
      <c r="S144" s="64"/>
      <c r="T144" s="64"/>
      <c r="U144" s="63"/>
      <c r="V144" s="65"/>
      <c r="W144" s="65"/>
      <c r="X144" s="66"/>
      <c r="Y144" s="67"/>
      <c r="Z144" s="63"/>
      <c r="AA144" s="67"/>
      <c r="AB144" s="63"/>
      <c r="AC144" s="68"/>
      <c r="AD144" s="68"/>
      <c r="AE144" s="68"/>
      <c r="AF144" s="33"/>
      <c r="AG144" s="71"/>
      <c r="AJ144" s="12"/>
    </row>
    <row r="145" customFormat="false" ht="13.8" hidden="false" customHeight="false" outlineLevel="0" collapsed="false">
      <c r="A145" s="40" t="s">
        <v>122</v>
      </c>
      <c r="B145" s="12"/>
      <c r="C145" s="1"/>
      <c r="D145" s="1" t="s">
        <v>123</v>
      </c>
      <c r="E145" s="1"/>
      <c r="F145" s="15" t="s">
        <v>32</v>
      </c>
      <c r="G145" s="5" t="n">
        <v>10</v>
      </c>
      <c r="H145" s="1"/>
      <c r="I145" s="62" t="n">
        <v>6</v>
      </c>
      <c r="J145" s="1" t="s">
        <v>112</v>
      </c>
      <c r="K145" s="1"/>
      <c r="L145" s="1"/>
      <c r="M145" s="63"/>
      <c r="N145" s="63"/>
      <c r="O145" s="63"/>
      <c r="P145" s="63"/>
      <c r="Q145" s="63"/>
      <c r="R145" s="64"/>
      <c r="S145" s="64"/>
      <c r="T145" s="64"/>
      <c r="U145" s="63"/>
      <c r="V145" s="65"/>
      <c r="W145" s="65"/>
      <c r="X145" s="66"/>
      <c r="Y145" s="67"/>
      <c r="Z145" s="63"/>
      <c r="AA145" s="67"/>
      <c r="AB145" s="63"/>
      <c r="AC145" s="68"/>
      <c r="AD145" s="68"/>
      <c r="AE145" s="68"/>
      <c r="AF145" s="33"/>
      <c r="AG145" s="71"/>
      <c r="AJ145" s="12"/>
    </row>
    <row r="146" customFormat="false" ht="13.8" hidden="false" customHeight="false" outlineLevel="0" collapsed="false">
      <c r="A146" s="5"/>
      <c r="B146" s="12"/>
      <c r="C146" s="1"/>
      <c r="H146" s="1"/>
      <c r="I146" s="62" t="n">
        <v>7</v>
      </c>
      <c r="J146" s="1" t="s">
        <v>112</v>
      </c>
      <c r="K146" s="1"/>
      <c r="L146" s="1"/>
      <c r="M146" s="63"/>
      <c r="N146" s="63"/>
      <c r="O146" s="63"/>
      <c r="P146" s="63"/>
      <c r="Q146" s="63"/>
      <c r="R146" s="64"/>
      <c r="S146" s="64"/>
      <c r="T146" s="64"/>
      <c r="U146" s="63"/>
      <c r="V146" s="65"/>
      <c r="W146" s="65"/>
      <c r="X146" s="66"/>
      <c r="Y146" s="67"/>
      <c r="Z146" s="63"/>
      <c r="AA146" s="67"/>
      <c r="AB146" s="63"/>
      <c r="AC146" s="68"/>
      <c r="AD146" s="68"/>
      <c r="AE146" s="68"/>
      <c r="AF146" s="33"/>
      <c r="AG146" s="71"/>
      <c r="AJ146" s="12"/>
    </row>
    <row r="147" customFormat="false" ht="13.8" hidden="false" customHeight="false" outlineLevel="0" collapsed="false">
      <c r="B147" s="12"/>
      <c r="C147" s="1"/>
      <c r="D147" s="1"/>
      <c r="E147" s="1"/>
      <c r="F147" s="15"/>
      <c r="H147" s="1"/>
      <c r="I147" s="62" t="n">
        <v>8</v>
      </c>
      <c r="J147" s="1" t="s">
        <v>112</v>
      </c>
      <c r="K147" s="1"/>
      <c r="L147" s="1"/>
      <c r="M147" s="63"/>
      <c r="N147" s="63"/>
      <c r="O147" s="63"/>
      <c r="P147" s="63"/>
      <c r="Q147" s="63"/>
      <c r="R147" s="64"/>
      <c r="S147" s="64"/>
      <c r="T147" s="64"/>
      <c r="U147" s="63"/>
      <c r="V147" s="65"/>
      <c r="W147" s="65"/>
      <c r="X147" s="66"/>
      <c r="Y147" s="67"/>
      <c r="Z147" s="63"/>
      <c r="AA147" s="67"/>
      <c r="AB147" s="63"/>
      <c r="AC147" s="68"/>
      <c r="AD147" s="68"/>
      <c r="AE147" s="68"/>
      <c r="AF147" s="33"/>
      <c r="AG147" s="71"/>
      <c r="AJ147" s="12"/>
    </row>
    <row r="148" customFormat="false" ht="13.8" hidden="false" customHeight="false" outlineLevel="0" collapsed="false">
      <c r="B148" s="12"/>
      <c r="C148" s="1"/>
      <c r="D148" s="39" t="s">
        <v>124</v>
      </c>
      <c r="E148" s="1"/>
      <c r="F148" s="1"/>
      <c r="G148" s="1"/>
      <c r="H148" s="1"/>
      <c r="I148" s="62" t="n">
        <v>9</v>
      </c>
      <c r="J148" s="1" t="s">
        <v>112</v>
      </c>
      <c r="K148" s="1"/>
      <c r="L148" s="1"/>
      <c r="M148" s="63"/>
      <c r="N148" s="63"/>
      <c r="O148" s="63"/>
      <c r="P148" s="63"/>
      <c r="Q148" s="63"/>
      <c r="R148" s="64"/>
      <c r="S148" s="64"/>
      <c r="T148" s="64"/>
      <c r="U148" s="63"/>
      <c r="V148" s="65"/>
      <c r="W148" s="65"/>
      <c r="X148" s="66"/>
      <c r="Y148" s="67"/>
      <c r="Z148" s="63"/>
      <c r="AA148" s="67"/>
      <c r="AB148" s="63"/>
      <c r="AC148" s="68"/>
      <c r="AD148" s="68"/>
      <c r="AE148" s="68"/>
      <c r="AF148" s="33"/>
      <c r="AG148" s="71"/>
      <c r="AJ148" s="12"/>
    </row>
    <row r="149" customFormat="false" ht="13.8" hidden="false" customHeight="false" outlineLevel="0" collapsed="false">
      <c r="B149" s="12"/>
      <c r="C149" s="1" t="n">
        <f aca="false">C148+1</f>
        <v>1</v>
      </c>
      <c r="D149" s="1" t="s">
        <v>125</v>
      </c>
      <c r="E149" s="1"/>
      <c r="F149" s="1"/>
      <c r="G149" s="1"/>
      <c r="H149" s="1"/>
      <c r="I149" s="62" t="n">
        <v>10</v>
      </c>
      <c r="J149" s="1" t="s">
        <v>112</v>
      </c>
      <c r="K149" s="1"/>
      <c r="L149" s="1"/>
      <c r="M149" s="63"/>
      <c r="N149" s="63"/>
      <c r="O149" s="63"/>
      <c r="P149" s="63"/>
      <c r="Q149" s="63"/>
      <c r="R149" s="64"/>
      <c r="S149" s="64"/>
      <c r="T149" s="64"/>
      <c r="U149" s="63"/>
      <c r="V149" s="65"/>
      <c r="W149" s="65"/>
      <c r="X149" s="66"/>
      <c r="Y149" s="67"/>
      <c r="Z149" s="63"/>
      <c r="AA149" s="67"/>
      <c r="AB149" s="63"/>
      <c r="AC149" s="68"/>
      <c r="AD149" s="68"/>
      <c r="AE149" s="68"/>
      <c r="AF149" s="33"/>
      <c r="AG149" s="71"/>
      <c r="AJ149" s="12"/>
    </row>
    <row r="150" customFormat="false" ht="13.8" hidden="false" customHeight="false" outlineLevel="0" collapsed="false">
      <c r="B150" s="12"/>
      <c r="C150" s="1" t="n">
        <f aca="false">C149+1</f>
        <v>2</v>
      </c>
      <c r="D150" s="1" t="s">
        <v>126</v>
      </c>
      <c r="E150" s="1"/>
      <c r="F150" s="1"/>
      <c r="G150" s="1"/>
      <c r="H150" s="1"/>
      <c r="I150" s="62" t="n">
        <v>11</v>
      </c>
      <c r="J150" s="1" t="s">
        <v>112</v>
      </c>
      <c r="K150" s="1"/>
      <c r="L150" s="1"/>
      <c r="M150" s="63"/>
      <c r="N150" s="63"/>
      <c r="O150" s="63"/>
      <c r="P150" s="63"/>
      <c r="Q150" s="63"/>
      <c r="R150" s="64"/>
      <c r="S150" s="64"/>
      <c r="T150" s="64"/>
      <c r="U150" s="63"/>
      <c r="V150" s="65"/>
      <c r="W150" s="65"/>
      <c r="X150" s="66"/>
      <c r="Y150" s="67"/>
      <c r="Z150" s="63"/>
      <c r="AA150" s="67"/>
      <c r="AB150" s="63"/>
      <c r="AC150" s="68"/>
      <c r="AD150" s="68"/>
      <c r="AE150" s="68"/>
      <c r="AF150" s="33"/>
      <c r="AG150" s="71"/>
      <c r="AJ150" s="12"/>
    </row>
    <row r="151" customFormat="false" ht="13.8" hidden="false" customHeight="false" outlineLevel="0" collapsed="false">
      <c r="B151" s="12"/>
      <c r="C151" s="1" t="n">
        <f aca="false">C150+1</f>
        <v>3</v>
      </c>
      <c r="D151" s="1" t="s">
        <v>127</v>
      </c>
      <c r="E151" s="1"/>
      <c r="F151" s="1"/>
      <c r="G151" s="1"/>
      <c r="H151" s="1"/>
      <c r="I151" s="62" t="n">
        <v>12</v>
      </c>
      <c r="J151" s="1" t="s">
        <v>112</v>
      </c>
      <c r="K151" s="1"/>
      <c r="L151" s="1"/>
      <c r="M151" s="63"/>
      <c r="N151" s="63"/>
      <c r="O151" s="63"/>
      <c r="P151" s="63"/>
      <c r="Q151" s="63"/>
      <c r="R151" s="64"/>
      <c r="S151" s="64"/>
      <c r="T151" s="64"/>
      <c r="U151" s="63"/>
      <c r="V151" s="65"/>
      <c r="W151" s="65"/>
      <c r="X151" s="66"/>
      <c r="Y151" s="67"/>
      <c r="Z151" s="63"/>
      <c r="AA151" s="67"/>
      <c r="AB151" s="63"/>
      <c r="AC151" s="68"/>
      <c r="AD151" s="68"/>
      <c r="AE151" s="68"/>
      <c r="AF151" s="33"/>
      <c r="AG151" s="71"/>
      <c r="AJ151" s="12"/>
    </row>
    <row r="152" customFormat="false" ht="13.8" hidden="false" customHeight="false" outlineLevel="0" collapsed="false">
      <c r="B152" s="12"/>
      <c r="C152" s="1" t="n">
        <f aca="false">C151+1</f>
        <v>4</v>
      </c>
      <c r="D152" s="1" t="s">
        <v>128</v>
      </c>
      <c r="E152" s="1"/>
      <c r="F152" s="1"/>
      <c r="G152" s="1"/>
      <c r="H152" s="1"/>
      <c r="I152" s="62" t="n">
        <v>13</v>
      </c>
      <c r="J152" s="1" t="s">
        <v>112</v>
      </c>
      <c r="K152" s="1"/>
      <c r="L152" s="1"/>
      <c r="M152" s="63"/>
      <c r="N152" s="63"/>
      <c r="O152" s="63"/>
      <c r="P152" s="63"/>
      <c r="Q152" s="63"/>
      <c r="R152" s="64"/>
      <c r="S152" s="64"/>
      <c r="T152" s="64"/>
      <c r="U152" s="63"/>
      <c r="V152" s="65"/>
      <c r="W152" s="65"/>
      <c r="X152" s="66"/>
      <c r="Y152" s="67"/>
      <c r="Z152" s="63"/>
      <c r="AA152" s="67"/>
      <c r="AB152" s="63"/>
      <c r="AC152" s="68"/>
      <c r="AD152" s="68"/>
      <c r="AE152" s="68"/>
      <c r="AF152" s="33"/>
      <c r="AG152" s="71"/>
      <c r="AJ152" s="12"/>
    </row>
    <row r="153" customFormat="false" ht="13.8" hidden="false" customHeight="false" outlineLevel="0" collapsed="false">
      <c r="B153" s="12"/>
      <c r="C153" s="1"/>
      <c r="D153" s="1"/>
      <c r="E153" s="1"/>
      <c r="F153" s="1"/>
      <c r="G153" s="1"/>
      <c r="H153" s="1"/>
      <c r="I153" s="62" t="n">
        <v>14</v>
      </c>
      <c r="J153" s="1" t="s">
        <v>112</v>
      </c>
      <c r="K153" s="1"/>
      <c r="L153" s="1"/>
      <c r="M153" s="63"/>
      <c r="N153" s="63"/>
      <c r="O153" s="63"/>
      <c r="P153" s="63"/>
      <c r="Q153" s="63"/>
      <c r="R153" s="64"/>
      <c r="S153" s="64"/>
      <c r="T153" s="64"/>
      <c r="U153" s="63"/>
      <c r="V153" s="65"/>
      <c r="W153" s="65"/>
      <c r="X153" s="66"/>
      <c r="Y153" s="67"/>
      <c r="Z153" s="63"/>
      <c r="AA153" s="67"/>
      <c r="AB153" s="63"/>
      <c r="AC153" s="68"/>
      <c r="AD153" s="68"/>
      <c r="AE153" s="68"/>
      <c r="AF153" s="33"/>
      <c r="AG153" s="71"/>
      <c r="AJ153" s="12"/>
    </row>
    <row r="154" customFormat="false" ht="13.8" hidden="false" customHeight="false" outlineLevel="0" collapsed="false">
      <c r="B154" s="12"/>
      <c r="C154" s="1"/>
      <c r="D154" s="1"/>
      <c r="E154" s="1"/>
      <c r="F154" s="1"/>
      <c r="G154" s="1"/>
      <c r="H154" s="1"/>
      <c r="I154" s="62" t="n">
        <v>15</v>
      </c>
      <c r="J154" s="1" t="s">
        <v>112</v>
      </c>
      <c r="K154" s="1"/>
      <c r="L154" s="1"/>
      <c r="M154" s="63"/>
      <c r="N154" s="63"/>
      <c r="O154" s="63"/>
      <c r="P154" s="63"/>
      <c r="Q154" s="63"/>
      <c r="R154" s="64"/>
      <c r="S154" s="64"/>
      <c r="T154" s="64"/>
      <c r="U154" s="63"/>
      <c r="V154" s="65"/>
      <c r="W154" s="65"/>
      <c r="X154" s="66"/>
      <c r="Y154" s="67"/>
      <c r="Z154" s="63"/>
      <c r="AA154" s="67"/>
      <c r="AB154" s="63"/>
      <c r="AC154" s="68"/>
      <c r="AD154" s="68"/>
      <c r="AE154" s="68"/>
      <c r="AF154" s="33"/>
      <c r="AG154" s="71"/>
      <c r="AJ154" s="12"/>
    </row>
    <row r="155" customFormat="false" ht="13.8" hidden="false" customHeight="false" outlineLevel="0" collapsed="false">
      <c r="B155" s="12"/>
      <c r="C155" s="1"/>
      <c r="D155" s="1"/>
      <c r="E155" s="1"/>
      <c r="F155" s="1"/>
      <c r="G155" s="1"/>
      <c r="H155" s="1"/>
      <c r="I155" s="62" t="n">
        <v>16</v>
      </c>
      <c r="J155" s="1" t="s">
        <v>112</v>
      </c>
      <c r="K155" s="1"/>
      <c r="L155" s="1"/>
      <c r="M155" s="63"/>
      <c r="N155" s="63"/>
      <c r="O155" s="63"/>
      <c r="P155" s="63"/>
      <c r="Q155" s="63"/>
      <c r="R155" s="64"/>
      <c r="S155" s="64"/>
      <c r="T155" s="64"/>
      <c r="U155" s="63"/>
      <c r="V155" s="65"/>
      <c r="W155" s="65"/>
      <c r="X155" s="66"/>
      <c r="Y155" s="67"/>
      <c r="Z155" s="63"/>
      <c r="AA155" s="67"/>
      <c r="AB155" s="63"/>
      <c r="AC155" s="68"/>
      <c r="AD155" s="68"/>
      <c r="AE155" s="68"/>
      <c r="AF155" s="33"/>
      <c r="AG155" s="71"/>
      <c r="AJ155" s="12"/>
    </row>
    <row r="156" customFormat="false" ht="13.8" hidden="false" customHeight="false" outlineLevel="0" collapsed="false">
      <c r="B156" s="12"/>
      <c r="C156" s="1"/>
      <c r="D156" s="1"/>
      <c r="E156" s="1"/>
      <c r="F156" s="1"/>
      <c r="G156" s="1"/>
      <c r="H156" s="1"/>
      <c r="I156" s="62" t="n">
        <v>17</v>
      </c>
      <c r="J156" s="1" t="s">
        <v>112</v>
      </c>
      <c r="K156" s="1"/>
      <c r="L156" s="1"/>
      <c r="M156" s="63"/>
      <c r="N156" s="63"/>
      <c r="O156" s="63"/>
      <c r="P156" s="63"/>
      <c r="Q156" s="63"/>
      <c r="R156" s="64"/>
      <c r="S156" s="64"/>
      <c r="T156" s="64"/>
      <c r="U156" s="63"/>
      <c r="V156" s="65"/>
      <c r="W156" s="65"/>
      <c r="X156" s="66"/>
      <c r="Y156" s="67"/>
      <c r="Z156" s="63"/>
      <c r="AA156" s="67"/>
      <c r="AB156" s="63"/>
      <c r="AC156" s="68"/>
      <c r="AD156" s="68"/>
      <c r="AE156" s="68"/>
      <c r="AF156" s="33"/>
      <c r="AG156" s="71"/>
      <c r="AJ156" s="12"/>
    </row>
    <row r="157" customFormat="false" ht="13.8" hidden="false" customHeight="false" outlineLevel="0" collapsed="false">
      <c r="B157" s="12"/>
      <c r="C157" s="1"/>
      <c r="D157" s="1"/>
      <c r="E157" s="1"/>
      <c r="F157" s="1"/>
      <c r="G157" s="1"/>
      <c r="H157" s="1"/>
      <c r="I157" s="62" t="n">
        <v>18</v>
      </c>
      <c r="J157" s="1" t="s">
        <v>112</v>
      </c>
      <c r="K157" s="1"/>
      <c r="L157" s="1"/>
      <c r="M157" s="63"/>
      <c r="N157" s="63"/>
      <c r="O157" s="63"/>
      <c r="P157" s="63"/>
      <c r="Q157" s="63"/>
      <c r="R157" s="64"/>
      <c r="S157" s="64"/>
      <c r="T157" s="64"/>
      <c r="U157" s="63"/>
      <c r="V157" s="65"/>
      <c r="W157" s="65"/>
      <c r="X157" s="66"/>
      <c r="Y157" s="67"/>
      <c r="Z157" s="63"/>
      <c r="AA157" s="67"/>
      <c r="AB157" s="63"/>
      <c r="AC157" s="68"/>
      <c r="AD157" s="68"/>
      <c r="AE157" s="68"/>
      <c r="AF157" s="33"/>
      <c r="AG157" s="71"/>
      <c r="AJ157" s="12"/>
    </row>
    <row r="158" customFormat="false" ht="13.8" hidden="false" customHeight="false" outlineLevel="0" collapsed="false">
      <c r="B158" s="12"/>
      <c r="C158" s="1"/>
      <c r="D158" s="1"/>
      <c r="E158" s="1"/>
      <c r="F158" s="1"/>
      <c r="G158" s="1"/>
      <c r="H158" s="1"/>
      <c r="I158" s="62" t="n">
        <v>19</v>
      </c>
      <c r="J158" s="1" t="s">
        <v>112</v>
      </c>
      <c r="K158" s="1"/>
      <c r="L158" s="1"/>
      <c r="M158" s="63"/>
      <c r="N158" s="63"/>
      <c r="O158" s="63"/>
      <c r="P158" s="63"/>
      <c r="Q158" s="63"/>
      <c r="R158" s="64"/>
      <c r="S158" s="64"/>
      <c r="T158" s="64"/>
      <c r="U158" s="63"/>
      <c r="V158" s="65"/>
      <c r="W158" s="65"/>
      <c r="X158" s="66"/>
      <c r="Y158" s="67"/>
      <c r="Z158" s="63"/>
      <c r="AA158" s="67"/>
      <c r="AB158" s="63"/>
      <c r="AC158" s="68"/>
      <c r="AD158" s="68"/>
      <c r="AE158" s="68"/>
      <c r="AF158" s="33"/>
      <c r="AG158" s="71"/>
      <c r="AJ158" s="12"/>
    </row>
    <row r="159" customFormat="false" ht="13.8" hidden="false" customHeight="false" outlineLevel="0" collapsed="false">
      <c r="B159" s="12"/>
      <c r="C159" s="1"/>
      <c r="D159" s="1"/>
      <c r="E159" s="1"/>
      <c r="F159" s="1"/>
      <c r="G159" s="1"/>
      <c r="H159" s="1"/>
      <c r="I159" s="62" t="n">
        <v>20</v>
      </c>
      <c r="J159" s="1" t="s">
        <v>112</v>
      </c>
      <c r="K159" s="1"/>
      <c r="L159" s="1"/>
      <c r="M159" s="63"/>
      <c r="N159" s="63"/>
      <c r="O159" s="63"/>
      <c r="P159" s="63"/>
      <c r="Q159" s="63"/>
      <c r="R159" s="64"/>
      <c r="S159" s="64"/>
      <c r="T159" s="64"/>
      <c r="U159" s="63"/>
      <c r="V159" s="65"/>
      <c r="W159" s="65"/>
      <c r="X159" s="66"/>
      <c r="Y159" s="67"/>
      <c r="Z159" s="63"/>
      <c r="AA159" s="67"/>
      <c r="AB159" s="63"/>
      <c r="AC159" s="68"/>
      <c r="AD159" s="68"/>
      <c r="AE159" s="68"/>
      <c r="AF159" s="33"/>
      <c r="AG159" s="71"/>
      <c r="AJ159" s="12"/>
    </row>
    <row r="160" customFormat="false" ht="13.8" hidden="false" customHeight="false" outlineLevel="0" collapsed="false">
      <c r="B160" s="12"/>
      <c r="C160" s="1"/>
      <c r="D160" s="1"/>
      <c r="E160" s="1"/>
      <c r="F160" s="1"/>
      <c r="G160" s="1"/>
      <c r="H160" s="1"/>
      <c r="I160" s="62" t="n">
        <v>21</v>
      </c>
      <c r="J160" s="1" t="s">
        <v>112</v>
      </c>
      <c r="K160" s="1"/>
      <c r="L160" s="1"/>
      <c r="M160" s="63"/>
      <c r="N160" s="63"/>
      <c r="O160" s="63"/>
      <c r="P160" s="63"/>
      <c r="Q160" s="63"/>
      <c r="R160" s="64"/>
      <c r="S160" s="64"/>
      <c r="T160" s="64"/>
      <c r="U160" s="63"/>
      <c r="V160" s="65"/>
      <c r="W160" s="65"/>
      <c r="X160" s="66"/>
      <c r="Y160" s="67"/>
      <c r="Z160" s="63"/>
      <c r="AA160" s="67"/>
      <c r="AB160" s="63"/>
      <c r="AC160" s="68"/>
      <c r="AD160" s="68"/>
      <c r="AE160" s="68"/>
      <c r="AF160" s="33"/>
      <c r="AG160" s="71"/>
      <c r="AJ160" s="12"/>
    </row>
    <row r="161" customFormat="false" ht="13.8" hidden="false" customHeight="false" outlineLevel="0" collapsed="false">
      <c r="B161" s="12"/>
      <c r="C161" s="1"/>
      <c r="D161" s="1"/>
      <c r="E161" s="1"/>
      <c r="F161" s="1"/>
      <c r="G161" s="1"/>
      <c r="H161" s="1"/>
      <c r="I161" s="62" t="n">
        <v>22</v>
      </c>
      <c r="J161" s="1" t="s">
        <v>112</v>
      </c>
      <c r="K161" s="1"/>
      <c r="L161" s="1"/>
      <c r="M161" s="63"/>
      <c r="N161" s="63"/>
      <c r="O161" s="63"/>
      <c r="P161" s="63"/>
      <c r="Q161" s="63"/>
      <c r="R161" s="64"/>
      <c r="S161" s="64"/>
      <c r="T161" s="64"/>
      <c r="U161" s="63"/>
      <c r="V161" s="65"/>
      <c r="W161" s="65"/>
      <c r="X161" s="66"/>
      <c r="Y161" s="67"/>
      <c r="Z161" s="63"/>
      <c r="AA161" s="67"/>
      <c r="AB161" s="63"/>
      <c r="AC161" s="68"/>
      <c r="AD161" s="68"/>
      <c r="AE161" s="68"/>
      <c r="AF161" s="33"/>
      <c r="AG161" s="71"/>
      <c r="AJ161" s="12"/>
    </row>
    <row r="162" customFormat="false" ht="13.8" hidden="false" customHeight="false" outlineLevel="0" collapsed="false">
      <c r="B162" s="12"/>
      <c r="C162" s="1"/>
      <c r="D162" s="1"/>
      <c r="E162" s="1"/>
      <c r="F162" s="1"/>
      <c r="G162" s="1"/>
      <c r="H162" s="1"/>
      <c r="I162" s="62" t="n">
        <v>23</v>
      </c>
      <c r="J162" s="1" t="s">
        <v>112</v>
      </c>
      <c r="K162" s="1"/>
      <c r="L162" s="1"/>
      <c r="M162" s="63"/>
      <c r="N162" s="63"/>
      <c r="O162" s="63"/>
      <c r="P162" s="63"/>
      <c r="Q162" s="63"/>
      <c r="R162" s="64"/>
      <c r="S162" s="64"/>
      <c r="T162" s="64"/>
      <c r="U162" s="63"/>
      <c r="V162" s="65"/>
      <c r="W162" s="65"/>
      <c r="X162" s="66"/>
      <c r="Y162" s="67"/>
      <c r="Z162" s="63"/>
      <c r="AA162" s="67"/>
      <c r="AB162" s="63"/>
      <c r="AC162" s="68"/>
      <c r="AD162" s="68"/>
      <c r="AE162" s="68"/>
      <c r="AF162" s="33"/>
      <c r="AG162" s="71"/>
      <c r="AJ162" s="12"/>
    </row>
    <row r="163" customFormat="false" ht="13.8" hidden="false" customHeight="false" outlineLevel="0" collapsed="false">
      <c r="B163" s="12"/>
      <c r="C163" s="1"/>
      <c r="D163" s="1"/>
      <c r="E163" s="1"/>
      <c r="F163" s="1"/>
      <c r="G163" s="1"/>
      <c r="H163" s="1"/>
      <c r="I163" s="62" t="n">
        <v>24</v>
      </c>
      <c r="J163" s="1" t="s">
        <v>112</v>
      </c>
      <c r="K163" s="1"/>
      <c r="L163" s="1"/>
      <c r="M163" s="63"/>
      <c r="N163" s="63"/>
      <c r="O163" s="63"/>
      <c r="P163" s="63"/>
      <c r="Q163" s="63"/>
      <c r="R163" s="64"/>
      <c r="S163" s="64"/>
      <c r="T163" s="64"/>
      <c r="U163" s="63"/>
      <c r="V163" s="65"/>
      <c r="W163" s="65"/>
      <c r="X163" s="66"/>
      <c r="Y163" s="67"/>
      <c r="Z163" s="63"/>
      <c r="AA163" s="67"/>
      <c r="AB163" s="63"/>
      <c r="AC163" s="68"/>
      <c r="AD163" s="68"/>
      <c r="AE163" s="68"/>
      <c r="AF163" s="33"/>
      <c r="AG163" s="71"/>
      <c r="AJ163" s="12"/>
    </row>
    <row r="164" customFormat="false" ht="13.8" hidden="false" customHeight="false" outlineLevel="0" collapsed="false">
      <c r="B164" s="12"/>
      <c r="C164" s="1"/>
      <c r="D164" s="1"/>
      <c r="E164" s="1"/>
      <c r="F164" s="1"/>
      <c r="G164" s="1"/>
      <c r="H164" s="1"/>
      <c r="I164" s="72" t="n">
        <v>25</v>
      </c>
      <c r="J164" s="73" t="s">
        <v>112</v>
      </c>
      <c r="K164" s="73"/>
      <c r="L164" s="73"/>
      <c r="M164" s="74"/>
      <c r="N164" s="74"/>
      <c r="O164" s="74"/>
      <c r="P164" s="74"/>
      <c r="Q164" s="74"/>
      <c r="R164" s="75"/>
      <c r="S164" s="76"/>
      <c r="T164" s="77"/>
      <c r="U164" s="74"/>
      <c r="V164" s="78"/>
      <c r="W164" s="78"/>
      <c r="X164" s="79"/>
      <c r="Y164" s="80"/>
      <c r="Z164" s="74"/>
      <c r="AA164" s="80"/>
      <c r="AB164" s="74"/>
      <c r="AC164" s="81"/>
      <c r="AD164" s="81"/>
      <c r="AE164" s="81"/>
      <c r="AF164" s="82"/>
      <c r="AG164" s="83"/>
      <c r="AJ164" s="12"/>
    </row>
    <row r="165" customFormat="false" ht="13.8" hidden="false" customHeight="false" outlineLevel="0" collapsed="false">
      <c r="B165" s="12"/>
      <c r="D165" s="1"/>
      <c r="E165" s="1"/>
      <c r="F165" s="1"/>
      <c r="G165" s="1"/>
      <c r="AJ165" s="12"/>
    </row>
    <row r="166" customFormat="false" ht="13.8" hidden="false" customHeight="false" outlineLevel="0" collapsed="false">
      <c r="B166" s="12"/>
      <c r="AJ166" s="12"/>
    </row>
    <row r="167" customFormat="false" ht="6" hidden="false" customHeight="true" outlineLevel="0" collapsed="false">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row>
  </sheetData>
  <mergeCells count="3">
    <mergeCell ref="D3:D4"/>
    <mergeCell ref="X12:X14"/>
    <mergeCell ref="X18:X20"/>
  </mergeCells>
  <conditionalFormatting sqref="AH142">
    <cfRule type="expression" priority="2" aboveAverage="0" equalAverage="0" bottom="0" percent="0" rank="0" text="" dxfId="0">
      <formula>dashboard #REF!=0</formula>
    </cfRule>
    <cfRule type="expression" priority="3" aboveAverage="0" equalAverage="0" bottom="0" percent="0" rank="0" text="" dxfId="1">
      <formula>AH142=1</formula>
    </cfRule>
    <cfRule type="expression" priority="4" aboveAverage="0" equalAverage="0" bottom="0" percent="0" rank="0" text="" dxfId="2">
      <formula>AH142=0</formula>
    </cfRule>
  </conditionalFormatting>
  <conditionalFormatting sqref="AB139">
    <cfRule type="expression" priority="5" aboveAverage="0" equalAverage="0" bottom="0" percent="0" rank="0" text="" dxfId="0">
      <formula>dashboard #REF!=0</formula>
    </cfRule>
    <cfRule type="expression" priority="6" aboveAverage="0" equalAverage="0" bottom="0" percent="0" rank="0" text="" dxfId="1">
      <formula>AB139=1</formula>
    </cfRule>
    <cfRule type="expression" priority="7" aboveAverage="0" equalAverage="0" bottom="0" percent="0" rank="0" text="" dxfId="2">
      <formula>AB139=0</formula>
    </cfRule>
  </conditionalFormatting>
  <conditionalFormatting sqref="Z139">
    <cfRule type="expression" priority="8" aboveAverage="0" equalAverage="0" bottom="0" percent="0" rank="0" text="" dxfId="0">
      <formula>dashboard #REF!=0</formula>
    </cfRule>
    <cfRule type="expression" priority="9" aboveAverage="0" equalAverage="0" bottom="0" percent="0" rank="0" text="" dxfId="1">
      <formula>Z139=1</formula>
    </cfRule>
    <cfRule type="expression" priority="10" aboveAverage="0" equalAverage="0" bottom="0" percent="0" rank="0" text="" dxfId="2">
      <formula>Z139=0</formula>
    </cfRule>
  </conditionalFormatting>
  <conditionalFormatting sqref="Z140:Z164 AB140:AB159">
    <cfRule type="expression" priority="11" aboveAverage="0" equalAverage="0" bottom="0" percent="0" rank="0" text="" dxfId="3">
      <formula>Z140=1</formula>
    </cfRule>
    <cfRule type="expression" priority="12" aboveAverage="0" equalAverage="0" bottom="0" percent="0" rank="0" text="" dxfId="4">
      <formula>Z140=0</formula>
    </cfRule>
    <cfRule type="expression" priority="13" aboveAverage="0" equalAverage="0" bottom="0" percent="0" rank="0" text="" dxfId="0">
      <formula>dashboard #REF!=0</formula>
    </cfRule>
    <cfRule type="expression" priority="14" aboveAverage="0" equalAverage="0" bottom="0" percent="0" rank="0" text="" dxfId="1">
      <formula>Z140=1</formula>
    </cfRule>
    <cfRule type="expression" priority="15" aboveAverage="0" equalAverage="0" bottom="0" percent="0" rank="0" text="" dxfId="2">
      <formula>Z140=0</formula>
    </cfRule>
  </conditionalFormatting>
  <conditionalFormatting sqref="AB140:AB164">
    <cfRule type="expression" priority="16" aboveAverage="0" equalAverage="0" bottom="0" percent="0" rank="0" text="" dxfId="3">
      <formula>AB140=1</formula>
    </cfRule>
    <cfRule type="expression" priority="17" aboveAverage="0" equalAverage="0" bottom="0" percent="0" rank="0" text="" dxfId="4">
      <formula>AB140=0</formula>
    </cfRule>
    <cfRule type="expression" priority="18" aboveAverage="0" equalAverage="0" bottom="0" percent="0" rank="0" text="" dxfId="0">
      <formula>dashboard #REF!=0</formula>
    </cfRule>
    <cfRule type="expression" priority="19" aboveAverage="0" equalAverage="0" bottom="0" percent="0" rank="0" text="" dxfId="1">
      <formula>AB140=1</formula>
    </cfRule>
    <cfRule type="expression" priority="20" aboveAverage="0" equalAverage="0" bottom="0" percent="0" rank="0" text="" dxfId="2">
      <formula>AB140=0</formula>
    </cfRule>
  </conditionalFormatting>
  <conditionalFormatting sqref="M4:O4 AC135:AG135">
    <cfRule type="expression" priority="21" aboveAverage="0" equalAverage="0" bottom="0" percent="0" rank="0" text="" dxfId="0">
      <formula>dashboard #REF!=0</formula>
    </cfRule>
    <cfRule type="expression" priority="22" aboveAverage="0" equalAverage="0" bottom="0" percent="0" rank="0" text="" dxfId="1">
      <formula>#REF!=1</formula>
    </cfRule>
    <cfRule type="expression" priority="23" aboveAverage="0" equalAverage="0" bottom="0" percent="0" rank="0" text="" dxfId="2">
      <formula>#REF!=0</formula>
    </cfRule>
  </conditionalFormatting>
  <dataValidations count="2">
    <dataValidation allowBlank="true" errorStyle="stop" operator="equal" showDropDown="false" showErrorMessage="true" showInputMessage="true" sqref="S140:S164" type="list">
      <formula1>ass_Market!$N$73:$X$73</formula1>
      <formula2>0</formula2>
    </dataValidation>
    <dataValidation allowBlank="true" errorStyle="stop" operator="equal" showDropDown="false" showErrorMessage="true" showInputMessage="true" sqref="Z140:Z164 AB140:AB164" type="list">
      <formula1>"VRAI,FAUX"</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E3FF"/>
    <pageSetUpPr fitToPage="false"/>
  </sheetPr>
  <dimension ref="A1:U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M9" activePane="bottomLeft" state="frozen"/>
      <selection pane="topLeft" activeCell="A1" activeCellId="0" sqref="A1"/>
      <selection pane="bottomLeft" activeCell="M11" activeCellId="0" sqref="M11"/>
    </sheetView>
  </sheetViews>
  <sheetFormatPr defaultColWidth="11.00390625" defaultRowHeight="12.8" customHeight="true" zeroHeight="false" outlineLevelRow="1" outlineLevelCol="0"/>
  <cols>
    <col collapsed="false" customWidth="true" hidden="false" outlineLevel="0" max="1" min="1" style="5" width="24.49"/>
    <col collapsed="false" customWidth="true" hidden="false" outlineLevel="0" max="2" min="2" style="5" width="4.43"/>
    <col collapsed="false" customWidth="true" hidden="false" outlineLevel="0" max="3" min="3" style="5" width="38.43"/>
    <col collapsed="false" customWidth="true" hidden="false" outlineLevel="0" max="5" min="4" style="5" width="4.43"/>
    <col collapsed="false" customWidth="true" hidden="false" outlineLevel="0" max="6" min="6" style="5" width="8.43"/>
    <col collapsed="false" customWidth="true" hidden="false" outlineLevel="0" max="7" min="7" style="5" width="13.43"/>
    <col collapsed="false" customWidth="true" hidden="false" outlineLevel="0" max="8" min="8" style="5" width="8.43"/>
    <col collapsed="false" customWidth="true" hidden="false" outlineLevel="0" max="9" min="9" style="5" width="13.43"/>
    <col collapsed="false" customWidth="true" hidden="false" outlineLevel="0" max="10" min="10" style="5" width="4.43"/>
    <col collapsed="false" customWidth="true" hidden="false" outlineLevel="0" max="11" min="11" style="5" width="13.43"/>
    <col collapsed="false" customWidth="true" hidden="false" outlineLevel="0" max="12" min="12" style="5" width="2.43"/>
    <col collapsed="false" customWidth="true" hidden="false" outlineLevel="0" max="15" min="13" style="5" width="11.43"/>
    <col collapsed="false" customWidth="true" hidden="false" outlineLevel="0" max="16" min="16" style="5" width="9.43"/>
    <col collapsed="false" customWidth="true" hidden="false" outlineLevel="0" max="17" min="17" style="5" width="11.43"/>
  </cols>
  <sheetData>
    <row r="1" customFormat="false" ht="13.8" hidden="false" customHeight="false" outlineLevel="0" collapsed="false">
      <c r="A1" s="1"/>
      <c r="B1" s="1"/>
      <c r="C1" s="1"/>
      <c r="D1" s="1"/>
      <c r="E1" s="1"/>
      <c r="F1" s="1"/>
      <c r="G1" s="1"/>
      <c r="H1" s="1"/>
      <c r="I1" s="1"/>
      <c r="J1" s="1"/>
      <c r="K1" s="1"/>
      <c r="L1" s="1"/>
      <c r="M1" s="1"/>
      <c r="N1" s="1"/>
      <c r="O1" s="1"/>
      <c r="P1" s="1"/>
    </row>
    <row r="2" customFormat="false" ht="13.8" hidden="false" customHeight="false" outlineLevel="0" collapsed="false">
      <c r="A2" s="1"/>
      <c r="B2" s="2"/>
      <c r="C2" s="2"/>
      <c r="D2" s="2"/>
      <c r="E2" s="2"/>
      <c r="F2" s="2"/>
      <c r="G2" s="2"/>
      <c r="H2" s="2"/>
      <c r="I2" s="2"/>
      <c r="J2" s="2"/>
      <c r="K2" s="2"/>
      <c r="L2" s="2"/>
      <c r="M2" s="2"/>
      <c r="N2" s="2"/>
      <c r="O2" s="2"/>
      <c r="P2" s="2"/>
      <c r="Q2" s="2"/>
      <c r="R2" s="2"/>
      <c r="S2" s="2"/>
      <c r="T2" s="2"/>
      <c r="U2" s="2"/>
    </row>
    <row r="3" customFormat="false" ht="13.8" hidden="false" customHeight="false" outlineLevel="0" collapsed="false">
      <c r="A3" s="1"/>
      <c r="B3" s="2"/>
      <c r="C3" s="2"/>
      <c r="D3" s="2"/>
      <c r="E3" s="2"/>
      <c r="F3" s="2"/>
      <c r="G3" s="2"/>
      <c r="H3" s="2"/>
      <c r="I3" s="2"/>
      <c r="J3" s="2"/>
      <c r="K3" s="2"/>
      <c r="L3" s="2"/>
      <c r="M3" s="2"/>
      <c r="N3" s="2"/>
      <c r="O3" s="2"/>
      <c r="P3" s="2"/>
      <c r="Q3" s="2"/>
      <c r="R3" s="2"/>
      <c r="S3" s="2"/>
      <c r="T3" s="2"/>
      <c r="U3" s="2"/>
    </row>
    <row r="4" customFormat="false" ht="13.8" hidden="false" customHeight="false" outlineLevel="0" collapsed="false">
      <c r="A4" s="1"/>
      <c r="B4" s="2"/>
      <c r="C4" s="2"/>
      <c r="D4" s="2"/>
      <c r="E4" s="2"/>
      <c r="F4" s="2"/>
      <c r="G4" s="2"/>
      <c r="H4" s="2"/>
      <c r="I4" s="2"/>
      <c r="J4" s="2"/>
      <c r="K4" s="84"/>
      <c r="L4" s="2"/>
      <c r="M4" s="2"/>
      <c r="N4" s="2"/>
      <c r="O4" s="2"/>
      <c r="P4" s="2"/>
      <c r="Q4" s="2"/>
      <c r="R4" s="2"/>
      <c r="S4" s="2"/>
      <c r="T4" s="2"/>
      <c r="U4" s="2"/>
    </row>
    <row r="5" customFormat="false" ht="13.8" hidden="false" customHeight="false" outlineLevel="0" collapsed="false">
      <c r="A5" s="1"/>
      <c r="B5" s="1"/>
      <c r="C5" s="1"/>
      <c r="D5" s="1"/>
      <c r="E5" s="1"/>
      <c r="F5" s="1"/>
      <c r="G5" s="1"/>
      <c r="H5" s="1"/>
      <c r="I5" s="1"/>
      <c r="J5" s="1"/>
      <c r="K5" s="1"/>
      <c r="L5" s="1"/>
      <c r="M5" s="1"/>
      <c r="N5" s="1"/>
      <c r="O5" s="1"/>
      <c r="P5" s="1"/>
    </row>
    <row r="6" customFormat="false" ht="13.8" hidden="false" customHeight="false" outlineLevel="0" collapsed="false">
      <c r="A6" s="1"/>
      <c r="B6" s="11" t="n">
        <f aca="false">1</f>
        <v>1</v>
      </c>
      <c r="C6" s="11" t="s">
        <v>129</v>
      </c>
      <c r="D6" s="11"/>
      <c r="E6" s="11"/>
      <c r="F6" s="11"/>
      <c r="G6" s="11"/>
      <c r="H6" s="11"/>
      <c r="I6" s="11"/>
      <c r="J6" s="11"/>
      <c r="K6" s="11"/>
      <c r="L6" s="11"/>
      <c r="M6" s="11"/>
      <c r="N6" s="11"/>
      <c r="O6" s="11"/>
      <c r="P6" s="11"/>
    </row>
    <row r="7" customFormat="false" ht="13.8" hidden="false" customHeight="false" outlineLevel="1" collapsed="false">
      <c r="A7" s="1"/>
      <c r="B7" s="1"/>
      <c r="C7" s="1"/>
      <c r="D7" s="1"/>
      <c r="E7" s="1"/>
      <c r="F7" s="1"/>
      <c r="G7" s="1"/>
      <c r="H7" s="1"/>
      <c r="I7" s="1"/>
      <c r="J7" s="1"/>
      <c r="K7" s="1"/>
      <c r="L7" s="12"/>
      <c r="M7" s="1"/>
      <c r="N7" s="1"/>
      <c r="O7" s="1"/>
      <c r="P7" s="1"/>
    </row>
    <row r="8" customFormat="false" ht="13.8" hidden="false" customHeight="false" outlineLevel="1" collapsed="false">
      <c r="A8" s="1"/>
      <c r="B8" s="1"/>
      <c r="C8" s="6" t="s">
        <v>130</v>
      </c>
      <c r="D8" s="1"/>
      <c r="E8" s="1"/>
      <c r="F8" s="1"/>
      <c r="G8" s="1"/>
      <c r="H8" s="1"/>
      <c r="I8" s="1"/>
      <c r="J8" s="1"/>
      <c r="K8" s="1"/>
      <c r="L8" s="12"/>
      <c r="M8" s="1"/>
      <c r="N8" s="1"/>
      <c r="O8" s="1"/>
      <c r="P8" s="1"/>
    </row>
    <row r="9" customFormat="false" ht="13.8" hidden="false" customHeight="false" outlineLevel="1" collapsed="false">
      <c r="A9" s="40" t="s">
        <v>131</v>
      </c>
      <c r="B9" s="1"/>
      <c r="C9" s="1" t="s">
        <v>132</v>
      </c>
      <c r="D9" s="1"/>
      <c r="E9" s="1"/>
      <c r="F9" s="1"/>
      <c r="G9" s="1"/>
      <c r="H9" s="1"/>
      <c r="I9" s="1"/>
      <c r="J9" s="1"/>
      <c r="K9" s="15" t="s">
        <v>25</v>
      </c>
      <c r="L9" s="12"/>
      <c r="M9" s="85" t="n">
        <v>45658</v>
      </c>
      <c r="N9" s="1"/>
      <c r="O9" s="1"/>
      <c r="P9" s="1"/>
    </row>
    <row r="10" customFormat="false" ht="13.8" hidden="false" customHeight="false" outlineLevel="1" collapsed="false">
      <c r="A10" s="40"/>
      <c r="B10" s="1"/>
      <c r="C10" s="1" t="s">
        <v>133</v>
      </c>
      <c r="D10" s="1"/>
      <c r="E10" s="1"/>
      <c r="F10" s="1"/>
      <c r="G10" s="1"/>
      <c r="H10" s="1"/>
      <c r="I10" s="1"/>
      <c r="J10" s="1"/>
      <c r="K10" s="15" t="s">
        <v>134</v>
      </c>
      <c r="L10" s="12"/>
      <c r="M10" s="61" t="n">
        <v>12</v>
      </c>
      <c r="N10" s="1"/>
      <c r="O10" s="1"/>
      <c r="P10" s="1"/>
    </row>
    <row r="11" customFormat="false" ht="13.8" hidden="false" customHeight="false" outlineLevel="1" collapsed="false">
      <c r="A11" s="40" t="s">
        <v>135</v>
      </c>
      <c r="B11" s="1"/>
      <c r="C11" s="1" t="s">
        <v>136</v>
      </c>
      <c r="D11" s="1"/>
      <c r="E11" s="1"/>
      <c r="F11" s="1"/>
      <c r="G11" s="1"/>
      <c r="H11" s="1"/>
      <c r="I11" s="1"/>
      <c r="J11" s="1"/>
      <c r="K11" s="15" t="s">
        <v>25</v>
      </c>
      <c r="L11" s="12"/>
      <c r="M11" s="85" t="n">
        <v>59535</v>
      </c>
      <c r="N11" s="1"/>
      <c r="O11" s="1"/>
      <c r="P11" s="1"/>
    </row>
    <row r="12" customFormat="false" ht="13.8" hidden="false" customHeight="false" outlineLevel="1" collapsed="false">
      <c r="L12" s="12"/>
    </row>
    <row r="13" customFormat="false" ht="13.8" hidden="false" customHeight="false" outlineLevel="1" collapsed="false">
      <c r="A13" s="40" t="s">
        <v>137</v>
      </c>
      <c r="C13" s="1" t="s">
        <v>138</v>
      </c>
      <c r="K13" s="15" t="s">
        <v>139</v>
      </c>
      <c r="L13" s="12"/>
      <c r="M13" s="86" t="n">
        <v>2026</v>
      </c>
    </row>
    <row r="14" customFormat="false" ht="13.8" hidden="false" customHeight="false" outlineLevel="1" collapsed="false">
      <c r="L14" s="12"/>
    </row>
    <row r="15" customFormat="false" ht="13.8" hidden="false" customHeight="false" outlineLevel="0" collapsed="false">
      <c r="A15" s="1"/>
      <c r="B15" s="11" t="n">
        <f aca="false">B6+1</f>
        <v>2</v>
      </c>
      <c r="C15" s="11" t="s">
        <v>140</v>
      </c>
      <c r="D15" s="11"/>
      <c r="E15" s="11"/>
      <c r="F15" s="11"/>
      <c r="G15" s="11"/>
      <c r="H15" s="11"/>
      <c r="I15" s="11"/>
      <c r="J15" s="11"/>
      <c r="K15" s="11"/>
      <c r="L15" s="11"/>
      <c r="M15" s="11"/>
      <c r="N15" s="11"/>
      <c r="O15" s="11"/>
      <c r="P15" s="11"/>
    </row>
    <row r="16" customFormat="false" ht="13.8" hidden="false" customHeight="false" outlineLevel="1" collapsed="false">
      <c r="A16" s="1"/>
      <c r="B16" s="1"/>
      <c r="C16" s="1"/>
      <c r="D16" s="1"/>
      <c r="E16" s="1"/>
      <c r="F16" s="1"/>
      <c r="G16" s="1"/>
      <c r="H16" s="1"/>
      <c r="I16" s="1"/>
      <c r="J16" s="1"/>
      <c r="K16" s="1"/>
      <c r="L16" s="12"/>
      <c r="M16" s="1"/>
      <c r="N16" s="1"/>
      <c r="O16" s="1"/>
      <c r="P16" s="1"/>
    </row>
    <row r="17" customFormat="false" ht="13.8" hidden="false" customHeight="false" outlineLevel="1" collapsed="false">
      <c r="A17" s="1"/>
      <c r="B17" s="1"/>
      <c r="C17" s="6" t="s">
        <v>141</v>
      </c>
      <c r="D17" s="1"/>
      <c r="E17" s="1"/>
      <c r="F17" s="1"/>
      <c r="G17" s="1"/>
      <c r="H17" s="1"/>
      <c r="I17" s="1"/>
      <c r="J17" s="1"/>
      <c r="K17" s="1"/>
      <c r="L17" s="12"/>
      <c r="M17" s="1"/>
      <c r="N17" s="1"/>
      <c r="O17" s="1"/>
      <c r="P17" s="1"/>
    </row>
    <row r="18" customFormat="false" ht="13.8" hidden="false" customHeight="false" outlineLevel="1" collapsed="false">
      <c r="A18" s="1"/>
      <c r="B18" s="1"/>
      <c r="C18" s="1" t="s">
        <v>142</v>
      </c>
      <c r="D18" s="1"/>
      <c r="E18" s="1"/>
      <c r="F18" s="1"/>
      <c r="G18" s="1"/>
      <c r="H18" s="1"/>
      <c r="I18" s="1"/>
      <c r="J18" s="1"/>
      <c r="K18" s="15" t="s">
        <v>33</v>
      </c>
      <c r="L18" s="12"/>
      <c r="M18" s="63" t="n">
        <v>0.2</v>
      </c>
      <c r="N18" s="1"/>
      <c r="O18" s="1"/>
      <c r="P18" s="1"/>
    </row>
    <row r="19" customFormat="false" ht="13.8" hidden="false" customHeight="false" outlineLevel="1" collapsed="false">
      <c r="A19" s="1"/>
      <c r="B19" s="1"/>
      <c r="C19" s="1"/>
      <c r="D19" s="1"/>
      <c r="E19" s="1"/>
      <c r="F19" s="1"/>
      <c r="G19" s="1"/>
      <c r="H19" s="1"/>
      <c r="I19" s="1"/>
      <c r="J19" s="1"/>
      <c r="K19" s="1"/>
      <c r="L19" s="12"/>
      <c r="M19" s="1"/>
      <c r="N19" s="1"/>
      <c r="O19" s="1"/>
      <c r="P19" s="1"/>
    </row>
    <row r="20" customFormat="false" ht="13.8" hidden="false" customHeight="false" outlineLevel="1" collapsed="false">
      <c r="A20" s="1"/>
      <c r="B20" s="1"/>
      <c r="C20" s="6" t="s">
        <v>143</v>
      </c>
      <c r="D20" s="1"/>
      <c r="E20" s="1"/>
      <c r="F20" s="1"/>
      <c r="G20" s="1"/>
      <c r="H20" s="1"/>
      <c r="I20" s="1"/>
      <c r="J20" s="1"/>
      <c r="K20" s="1"/>
      <c r="L20" s="12"/>
      <c r="M20" s="1"/>
      <c r="N20" s="1"/>
      <c r="O20" s="1"/>
      <c r="P20" s="1"/>
    </row>
    <row r="21" customFormat="false" ht="13.8" hidden="false" customHeight="false" outlineLevel="1" collapsed="false">
      <c r="A21" s="1"/>
      <c r="B21" s="1"/>
      <c r="C21" s="14" t="s">
        <v>144</v>
      </c>
      <c r="D21" s="1"/>
      <c r="E21" s="1"/>
      <c r="F21" s="1"/>
      <c r="G21" s="1"/>
      <c r="H21" s="1"/>
      <c r="I21" s="1"/>
      <c r="J21" s="1"/>
      <c r="K21" s="1"/>
      <c r="L21" s="12"/>
      <c r="M21" s="1"/>
      <c r="N21" s="1"/>
      <c r="O21" s="1"/>
      <c r="P21" s="1"/>
    </row>
    <row r="22" customFormat="false" ht="13.8" hidden="false" customHeight="false" outlineLevel="1" collapsed="false">
      <c r="A22" s="1"/>
      <c r="B22" s="1"/>
      <c r="C22" s="1" t="s">
        <v>145</v>
      </c>
      <c r="D22" s="1"/>
      <c r="E22" s="1"/>
      <c r="F22" s="1"/>
      <c r="G22" s="1"/>
      <c r="H22" s="1"/>
      <c r="I22" s="1"/>
      <c r="J22" s="1"/>
      <c r="K22" s="15" t="s">
        <v>12</v>
      </c>
      <c r="L22" s="12"/>
      <c r="M22" s="64" t="n">
        <v>7600</v>
      </c>
      <c r="N22" s="1"/>
      <c r="O22" s="1"/>
      <c r="P22" s="1"/>
    </row>
    <row r="23" customFormat="false" ht="13.8" hidden="false" customHeight="false" outlineLevel="1" collapsed="false">
      <c r="A23" s="1"/>
      <c r="B23" s="1"/>
      <c r="C23" s="1" t="s">
        <v>146</v>
      </c>
      <c r="D23" s="1"/>
      <c r="E23" s="1"/>
      <c r="F23" s="1"/>
      <c r="G23" s="1"/>
      <c r="H23" s="1"/>
      <c r="I23" s="1"/>
      <c r="J23" s="1"/>
      <c r="K23" s="15" t="s">
        <v>33</v>
      </c>
      <c r="L23" s="12"/>
      <c r="M23" s="63" t="n">
        <v>0.8</v>
      </c>
      <c r="N23" s="1"/>
      <c r="O23" s="1"/>
      <c r="P23" s="1"/>
    </row>
    <row r="24" customFormat="false" ht="13.8" hidden="false" customHeight="false" outlineLevel="1" collapsed="false">
      <c r="A24" s="1"/>
      <c r="B24" s="1"/>
      <c r="C24" s="1" t="s">
        <v>147</v>
      </c>
      <c r="D24" s="1"/>
      <c r="E24" s="1"/>
      <c r="F24" s="1"/>
      <c r="G24" s="1"/>
      <c r="H24" s="1"/>
      <c r="I24" s="1"/>
      <c r="J24" s="1"/>
      <c r="K24" s="15" t="s">
        <v>33</v>
      </c>
      <c r="L24" s="12"/>
      <c r="M24" s="63" t="n">
        <v>0.85</v>
      </c>
      <c r="N24" s="1"/>
      <c r="O24" s="1"/>
      <c r="P24" s="1"/>
    </row>
    <row r="25" customFormat="false" ht="13.8" hidden="false" customHeight="false" outlineLevel="1" collapsed="false">
      <c r="A25" s="1"/>
      <c r="B25" s="1"/>
      <c r="C25" s="1"/>
      <c r="D25" s="1"/>
      <c r="E25" s="1"/>
      <c r="F25" s="1"/>
      <c r="G25" s="1"/>
      <c r="H25" s="1"/>
      <c r="I25" s="1"/>
      <c r="J25" s="1"/>
      <c r="K25" s="1"/>
      <c r="L25" s="12"/>
      <c r="M25" s="1"/>
      <c r="N25" s="1"/>
      <c r="O25" s="1"/>
      <c r="P25" s="1"/>
    </row>
    <row r="26" customFormat="false" ht="13.8" hidden="false" customHeight="false" outlineLevel="1" collapsed="false">
      <c r="A26" s="1"/>
      <c r="B26" s="1"/>
      <c r="C26" s="5" t="s">
        <v>148</v>
      </c>
      <c r="D26" s="1"/>
      <c r="E26" s="1"/>
      <c r="F26" s="1"/>
      <c r="G26" s="1"/>
      <c r="H26" s="1"/>
      <c r="I26" s="1"/>
      <c r="J26" s="1"/>
      <c r="K26" s="15" t="s">
        <v>139</v>
      </c>
      <c r="L26" s="12"/>
      <c r="M26" s="87" t="n">
        <v>2022</v>
      </c>
      <c r="N26" s="87" t="n">
        <v>2023</v>
      </c>
      <c r="O26" s="87" t="n">
        <v>2024</v>
      </c>
      <c r="P26" s="87" t="n">
        <v>2025</v>
      </c>
      <c r="Q26" s="87" t="n">
        <v>2026</v>
      </c>
      <c r="R26" s="87" t="n">
        <v>2027</v>
      </c>
      <c r="S26" s="87" t="n">
        <v>2028</v>
      </c>
      <c r="T26" s="87" t="n">
        <v>2029</v>
      </c>
    </row>
    <row r="27" customFormat="false" ht="13.8" hidden="false" customHeight="false" outlineLevel="1" collapsed="false">
      <c r="A27" s="1"/>
      <c r="B27" s="1"/>
      <c r="C27" s="14" t="s">
        <v>149</v>
      </c>
      <c r="D27" s="1"/>
      <c r="E27" s="1"/>
      <c r="F27" s="1"/>
      <c r="G27" s="1"/>
      <c r="H27" s="1"/>
      <c r="I27" s="1"/>
      <c r="J27" s="1"/>
      <c r="K27" s="1"/>
      <c r="L27" s="12"/>
      <c r="M27" s="1"/>
      <c r="N27" s="1"/>
      <c r="O27" s="1"/>
      <c r="P27" s="1"/>
      <c r="Q27" s="1"/>
      <c r="R27" s="1"/>
      <c r="S27" s="1"/>
      <c r="T27" s="1"/>
    </row>
    <row r="28" customFormat="false" ht="13.8" hidden="false" customHeight="false" outlineLevel="1" collapsed="false">
      <c r="A28" s="1"/>
      <c r="B28" s="1"/>
      <c r="C28" s="5" t="s">
        <v>150</v>
      </c>
      <c r="D28" s="1"/>
      <c r="E28" s="1"/>
      <c r="F28" s="1"/>
      <c r="G28" s="1"/>
      <c r="H28" s="1"/>
      <c r="I28" s="1"/>
      <c r="J28" s="1"/>
      <c r="K28" s="15" t="s">
        <v>12</v>
      </c>
      <c r="L28" s="12"/>
      <c r="M28" s="64" t="n">
        <v>500</v>
      </c>
      <c r="N28" s="64" t="n">
        <v>500</v>
      </c>
      <c r="O28" s="64" t="n">
        <v>500</v>
      </c>
      <c r="P28" s="64" t="n">
        <v>500</v>
      </c>
      <c r="Q28" s="64" t="n">
        <v>500</v>
      </c>
      <c r="R28" s="64" t="n">
        <v>500</v>
      </c>
      <c r="S28" s="64" t="n">
        <v>500</v>
      </c>
      <c r="T28" s="64" t="n">
        <v>500</v>
      </c>
    </row>
    <row r="29" customFormat="false" ht="13.8" hidden="false" customHeight="false" outlineLevel="1" collapsed="false">
      <c r="A29" s="1"/>
      <c r="B29" s="1"/>
      <c r="C29" s="5" t="s">
        <v>151</v>
      </c>
      <c r="D29" s="1"/>
      <c r="E29" s="1"/>
      <c r="F29" s="1"/>
      <c r="G29" s="1"/>
      <c r="H29" s="1"/>
      <c r="I29" s="1"/>
      <c r="J29" s="1"/>
      <c r="K29" s="15" t="s">
        <v>33</v>
      </c>
      <c r="L29" s="12"/>
      <c r="M29" s="63" t="n">
        <v>0</v>
      </c>
      <c r="N29" s="63" t="n">
        <v>0</v>
      </c>
      <c r="O29" s="63" t="n">
        <v>0</v>
      </c>
      <c r="P29" s="63" t="n">
        <v>0</v>
      </c>
      <c r="Q29" s="63" t="n">
        <v>0</v>
      </c>
      <c r="R29" s="63" t="n">
        <v>0</v>
      </c>
      <c r="S29" s="63" t="n">
        <v>0</v>
      </c>
      <c r="T29" s="63" t="n">
        <v>0</v>
      </c>
    </row>
    <row r="30" customFormat="false" ht="13.8" hidden="false" customHeight="false" outlineLevel="1" collapsed="false">
      <c r="A30" s="1"/>
      <c r="B30" s="1"/>
      <c r="C30" s="1"/>
      <c r="D30" s="1"/>
      <c r="E30" s="1"/>
      <c r="F30" s="1"/>
      <c r="G30" s="1"/>
      <c r="H30" s="1"/>
      <c r="I30" s="1"/>
      <c r="J30" s="1"/>
      <c r="K30" s="1"/>
      <c r="L30" s="12"/>
      <c r="M30" s="1"/>
      <c r="N30" s="1"/>
      <c r="O30" s="1"/>
      <c r="P30" s="1"/>
      <c r="Q30" s="1"/>
      <c r="R30" s="1"/>
      <c r="S30" s="1"/>
      <c r="T30" s="1"/>
    </row>
    <row r="31" customFormat="false" ht="13.8" hidden="false" customHeight="false" outlineLevel="1" collapsed="false">
      <c r="A31" s="1"/>
      <c r="B31" s="1"/>
      <c r="C31" s="5" t="s">
        <v>152</v>
      </c>
      <c r="D31" s="1"/>
      <c r="E31" s="1"/>
      <c r="F31" s="1"/>
      <c r="G31" s="1"/>
      <c r="H31" s="1"/>
      <c r="I31" s="1"/>
      <c r="J31" s="1"/>
      <c r="K31" s="15" t="s">
        <v>12</v>
      </c>
      <c r="L31" s="12"/>
      <c r="M31" s="64" t="n">
        <v>3000</v>
      </c>
      <c r="N31" s="64" t="n">
        <v>3000</v>
      </c>
      <c r="O31" s="64" t="n">
        <v>3000</v>
      </c>
      <c r="P31" s="64" t="n">
        <v>3000</v>
      </c>
      <c r="Q31" s="64" t="n">
        <v>3000</v>
      </c>
      <c r="R31" s="64" t="n">
        <v>3000</v>
      </c>
      <c r="S31" s="64" t="n">
        <v>3000</v>
      </c>
      <c r="T31" s="64" t="n">
        <v>3000</v>
      </c>
    </row>
    <row r="32" customFormat="false" ht="13.8" hidden="false" customHeight="false" outlineLevel="1" collapsed="false">
      <c r="A32" s="1"/>
      <c r="B32" s="1"/>
      <c r="C32" s="5" t="s">
        <v>153</v>
      </c>
      <c r="D32" s="1"/>
      <c r="E32" s="1"/>
      <c r="F32" s="1"/>
      <c r="G32" s="1"/>
      <c r="H32" s="1"/>
      <c r="I32" s="1"/>
      <c r="J32" s="1"/>
      <c r="K32" s="15" t="s">
        <v>33</v>
      </c>
      <c r="L32" s="12"/>
      <c r="M32" s="88" t="n">
        <v>0.00125</v>
      </c>
      <c r="N32" s="88" t="n">
        <v>0.00125</v>
      </c>
      <c r="O32" s="88" t="n">
        <v>0.00094</v>
      </c>
      <c r="P32" s="88" t="n">
        <v>0.00063</v>
      </c>
      <c r="Q32" s="88" t="n">
        <v>0.00094</v>
      </c>
      <c r="R32" s="88" t="n">
        <v>0.00094</v>
      </c>
      <c r="S32" s="88" t="n">
        <v>0.00063</v>
      </c>
      <c r="T32" s="88" t="n">
        <v>0.00031</v>
      </c>
    </row>
    <row r="33" customFormat="false" ht="13.8" hidden="false" customHeight="false" outlineLevel="1" collapsed="false">
      <c r="A33" s="1"/>
      <c r="B33" s="1"/>
      <c r="C33" s="5" t="s">
        <v>154</v>
      </c>
      <c r="D33" s="1"/>
      <c r="E33" s="1"/>
      <c r="F33" s="1"/>
      <c r="G33" s="1"/>
      <c r="H33" s="1"/>
      <c r="I33" s="1"/>
      <c r="J33" s="1"/>
      <c r="K33" s="15" t="s">
        <v>12</v>
      </c>
      <c r="L33" s="12"/>
      <c r="M33" s="64" t="n">
        <v>2500</v>
      </c>
      <c r="N33" s="64" t="n">
        <v>2500</v>
      </c>
      <c r="O33" s="64" t="n">
        <v>2500</v>
      </c>
      <c r="P33" s="64" t="n">
        <v>2500</v>
      </c>
      <c r="Q33" s="64" t="n">
        <v>2500</v>
      </c>
      <c r="R33" s="64" t="n">
        <v>2500</v>
      </c>
      <c r="S33" s="64" t="n">
        <v>2500</v>
      </c>
      <c r="T33" s="64" t="n">
        <v>2500</v>
      </c>
    </row>
    <row r="34" customFormat="false" ht="13.8" hidden="false" customHeight="false" outlineLevel="1" collapsed="false">
      <c r="A34" s="1"/>
      <c r="B34" s="1"/>
      <c r="C34" s="1"/>
      <c r="D34" s="1"/>
      <c r="E34" s="1"/>
      <c r="F34" s="1"/>
      <c r="G34" s="1"/>
      <c r="H34" s="1"/>
      <c r="I34" s="1"/>
      <c r="J34" s="1"/>
      <c r="K34" s="1"/>
      <c r="L34" s="12"/>
      <c r="M34" s="1"/>
      <c r="N34" s="1"/>
    </row>
    <row r="35" customFormat="false" ht="13.8" hidden="false" customHeight="false" outlineLevel="1" collapsed="false">
      <c r="A35" s="1"/>
      <c r="B35" s="1"/>
      <c r="C35" s="5" t="s">
        <v>155</v>
      </c>
      <c r="D35" s="1"/>
      <c r="E35" s="1"/>
      <c r="F35" s="1"/>
      <c r="G35" s="1"/>
      <c r="H35" s="1"/>
      <c r="I35" s="1"/>
      <c r="J35" s="1"/>
      <c r="K35" s="15" t="s">
        <v>12</v>
      </c>
      <c r="L35" s="12"/>
      <c r="M35" s="64" t="n">
        <v>10000</v>
      </c>
      <c r="N35" s="64" t="n">
        <v>10000</v>
      </c>
      <c r="O35" s="64" t="n">
        <v>10000</v>
      </c>
      <c r="P35" s="64" t="n">
        <v>10000</v>
      </c>
      <c r="Q35" s="64" t="n">
        <v>10000</v>
      </c>
      <c r="R35" s="64" t="n">
        <v>10000</v>
      </c>
      <c r="S35" s="64" t="n">
        <v>10000</v>
      </c>
      <c r="T35" s="64" t="n">
        <v>10000</v>
      </c>
    </row>
    <row r="36" customFormat="false" ht="13.8" hidden="false" customHeight="false" outlineLevel="1" collapsed="false">
      <c r="A36" s="1"/>
      <c r="B36" s="1"/>
      <c r="C36" s="5" t="s">
        <v>156</v>
      </c>
      <c r="D36" s="1"/>
      <c r="E36" s="1"/>
      <c r="F36" s="1"/>
      <c r="G36" s="1"/>
      <c r="H36" s="1"/>
      <c r="I36" s="1"/>
      <c r="J36" s="1"/>
      <c r="K36" s="15" t="s">
        <v>33</v>
      </c>
      <c r="L36" s="12"/>
      <c r="M36" s="88" t="n">
        <v>0.00125</v>
      </c>
      <c r="N36" s="88" t="n">
        <v>0.00125</v>
      </c>
      <c r="O36" s="88" t="n">
        <v>0.00094</v>
      </c>
      <c r="P36" s="88" t="n">
        <v>0.00063</v>
      </c>
      <c r="Q36" s="88" t="n">
        <v>0.00094</v>
      </c>
      <c r="R36" s="88" t="n">
        <v>0.00094</v>
      </c>
      <c r="S36" s="88" t="n">
        <v>0.00063</v>
      </c>
      <c r="T36" s="88" t="n">
        <v>0.00031</v>
      </c>
    </row>
    <row r="37" customFormat="false" ht="13.8" hidden="false" customHeight="false" outlineLevel="1" collapsed="false">
      <c r="A37" s="1"/>
      <c r="B37" s="1"/>
      <c r="C37" s="5" t="s">
        <v>157</v>
      </c>
      <c r="D37" s="1"/>
      <c r="E37" s="1"/>
      <c r="F37" s="1"/>
      <c r="G37" s="1"/>
      <c r="H37" s="1"/>
      <c r="I37" s="1"/>
      <c r="J37" s="1"/>
      <c r="K37" s="15" t="s">
        <v>33</v>
      </c>
      <c r="L37" s="12"/>
      <c r="M37" s="88" t="n">
        <v>0.00225</v>
      </c>
      <c r="N37" s="88" t="n">
        <v>0.00225</v>
      </c>
      <c r="O37" s="88" t="n">
        <v>0.00169</v>
      </c>
      <c r="P37" s="88" t="n">
        <v>0.00113</v>
      </c>
      <c r="Q37" s="88" t="n">
        <v>0.00169</v>
      </c>
      <c r="R37" s="88" t="n">
        <v>0.00169</v>
      </c>
      <c r="S37" s="88" t="n">
        <v>0.00113</v>
      </c>
      <c r="T37" s="88" t="n">
        <v>0.00056</v>
      </c>
    </row>
    <row r="38" customFormat="false" ht="13.8" hidden="false" customHeight="false" outlineLevel="1" collapsed="false">
      <c r="A38" s="1"/>
      <c r="B38" s="1"/>
      <c r="C38" s="5" t="s">
        <v>154</v>
      </c>
      <c r="D38" s="1"/>
      <c r="E38" s="1"/>
      <c r="F38" s="1"/>
      <c r="G38" s="1"/>
      <c r="H38" s="1"/>
      <c r="I38" s="1"/>
      <c r="J38" s="1"/>
      <c r="K38" s="15" t="s">
        <v>12</v>
      </c>
      <c r="L38" s="12"/>
      <c r="M38" s="64" t="n">
        <v>7000</v>
      </c>
      <c r="N38" s="64" t="n">
        <v>7000</v>
      </c>
      <c r="O38" s="64" t="n">
        <v>7000</v>
      </c>
      <c r="P38" s="64" t="n">
        <v>7000</v>
      </c>
      <c r="Q38" s="64" t="n">
        <v>7000</v>
      </c>
      <c r="R38" s="64" t="n">
        <v>7000</v>
      </c>
      <c r="S38" s="64" t="n">
        <v>7000</v>
      </c>
      <c r="T38" s="64" t="n">
        <v>7000</v>
      </c>
    </row>
    <row r="39" customFormat="false" ht="13.8" hidden="false" customHeight="false" outlineLevel="1" collapsed="false">
      <c r="A39" s="1"/>
      <c r="B39" s="1"/>
      <c r="D39" s="1"/>
      <c r="E39" s="1"/>
      <c r="F39" s="1"/>
      <c r="G39" s="1"/>
      <c r="H39" s="1"/>
      <c r="I39" s="1"/>
      <c r="J39" s="1"/>
      <c r="K39" s="1"/>
      <c r="L39" s="12"/>
      <c r="M39" s="1"/>
      <c r="N39" s="1"/>
      <c r="O39" s="1"/>
      <c r="P39" s="1"/>
      <c r="Q39" s="1"/>
      <c r="R39" s="1"/>
      <c r="S39" s="1"/>
      <c r="T39" s="1"/>
    </row>
    <row r="40" customFormat="false" ht="13.8" hidden="false" customHeight="false" outlineLevel="1" collapsed="false">
      <c r="A40" s="1"/>
      <c r="B40" s="1"/>
      <c r="C40" s="5" t="s">
        <v>158</v>
      </c>
      <c r="D40" s="1"/>
      <c r="E40" s="1"/>
      <c r="F40" s="1"/>
      <c r="G40" s="1"/>
      <c r="H40" s="1"/>
      <c r="I40" s="1"/>
      <c r="J40" s="1"/>
      <c r="K40" s="15" t="s">
        <v>12</v>
      </c>
      <c r="L40" s="12"/>
      <c r="M40" s="64" t="n">
        <v>50000</v>
      </c>
      <c r="N40" s="64" t="n">
        <v>50000</v>
      </c>
      <c r="O40" s="64" t="n">
        <v>50000</v>
      </c>
      <c r="P40" s="64" t="n">
        <v>50000</v>
      </c>
      <c r="Q40" s="64" t="n">
        <v>50000</v>
      </c>
      <c r="R40" s="64" t="n">
        <v>50000</v>
      </c>
      <c r="S40" s="64" t="n">
        <v>50000</v>
      </c>
      <c r="T40" s="64" t="n">
        <v>50000</v>
      </c>
    </row>
    <row r="41" customFormat="false" ht="13.8" hidden="false" customHeight="false" outlineLevel="1" collapsed="false">
      <c r="A41" s="1"/>
      <c r="B41" s="1"/>
      <c r="C41" s="5" t="s">
        <v>159</v>
      </c>
      <c r="D41" s="1"/>
      <c r="E41" s="1"/>
      <c r="F41" s="1"/>
      <c r="G41" s="1"/>
      <c r="H41" s="1"/>
      <c r="I41" s="1"/>
      <c r="J41" s="1"/>
      <c r="K41" s="15" t="s">
        <v>33</v>
      </c>
      <c r="L41" s="12"/>
      <c r="M41" s="88" t="n">
        <v>0.0035</v>
      </c>
      <c r="N41" s="88" t="n">
        <v>0.0035</v>
      </c>
      <c r="O41" s="88" t="n">
        <v>0.00263</v>
      </c>
      <c r="P41" s="88" t="n">
        <v>0.00175</v>
      </c>
      <c r="Q41" s="88" t="n">
        <v>0.00263</v>
      </c>
      <c r="R41" s="88" t="n">
        <v>0.00263</v>
      </c>
      <c r="S41" s="88" t="n">
        <v>0.00175</v>
      </c>
      <c r="T41" s="88" t="n">
        <v>0.00087</v>
      </c>
    </row>
    <row r="42" customFormat="false" ht="13.8" hidden="false" customHeight="false" outlineLevel="1" collapsed="false">
      <c r="A42" s="1"/>
      <c r="B42" s="1"/>
      <c r="C42" s="5" t="s">
        <v>160</v>
      </c>
      <c r="D42" s="1"/>
      <c r="E42" s="1"/>
      <c r="F42" s="1"/>
      <c r="G42" s="1"/>
      <c r="H42" s="1"/>
      <c r="I42" s="1"/>
      <c r="J42" s="1"/>
      <c r="K42" s="15" t="s">
        <v>33</v>
      </c>
      <c r="L42" s="12"/>
      <c r="M42" s="88" t="n">
        <v>0.00025</v>
      </c>
      <c r="N42" s="88" t="n">
        <v>0.00025</v>
      </c>
      <c r="O42" s="88" t="n">
        <v>0.00019</v>
      </c>
      <c r="P42" s="88" t="n">
        <v>0.00013</v>
      </c>
      <c r="Q42" s="88" t="n">
        <v>0.00019</v>
      </c>
      <c r="R42" s="88" t="n">
        <v>0.00019</v>
      </c>
      <c r="S42" s="88" t="n">
        <v>0.00013</v>
      </c>
      <c r="T42" s="88" t="n">
        <v>6E-005</v>
      </c>
    </row>
    <row r="43" customFormat="false" ht="13.8" hidden="false" customHeight="false" outlineLevel="1" collapsed="false">
      <c r="A43" s="1"/>
      <c r="B43" s="1"/>
      <c r="C43" s="5" t="s">
        <v>154</v>
      </c>
      <c r="D43" s="1"/>
      <c r="E43" s="1"/>
      <c r="F43" s="1"/>
      <c r="G43" s="1"/>
      <c r="H43" s="1"/>
      <c r="I43" s="1"/>
      <c r="J43" s="1"/>
      <c r="K43" s="15" t="s">
        <v>12</v>
      </c>
      <c r="L43" s="12"/>
      <c r="M43" s="64" t="n">
        <v>40000</v>
      </c>
      <c r="N43" s="64" t="n">
        <v>40000</v>
      </c>
      <c r="O43" s="64" t="n">
        <v>40000</v>
      </c>
      <c r="P43" s="64" t="n">
        <v>40000</v>
      </c>
      <c r="Q43" s="64" t="n">
        <v>40000</v>
      </c>
      <c r="R43" s="64" t="n">
        <v>40000</v>
      </c>
      <c r="S43" s="64" t="n">
        <v>40000</v>
      </c>
      <c r="T43" s="64" t="n">
        <v>40000</v>
      </c>
    </row>
    <row r="44" customFormat="false" ht="13.8" hidden="false" customHeight="false" outlineLevel="1" collapsed="false">
      <c r="A44" s="1"/>
      <c r="B44" s="1"/>
      <c r="C44" s="1"/>
      <c r="D44" s="1"/>
      <c r="E44" s="1"/>
      <c r="F44" s="1"/>
      <c r="G44" s="1"/>
      <c r="H44" s="1"/>
      <c r="I44" s="1"/>
      <c r="J44" s="1"/>
      <c r="K44" s="1"/>
      <c r="L44" s="12"/>
      <c r="M44" s="1"/>
      <c r="N44" s="1"/>
      <c r="O44" s="1"/>
      <c r="P44" s="1"/>
      <c r="Q44" s="1"/>
      <c r="R44" s="1"/>
      <c r="S44" s="1"/>
      <c r="T44" s="1"/>
    </row>
    <row r="45" customFormat="false" ht="13.8" hidden="false" customHeight="false" outlineLevel="1" collapsed="false">
      <c r="A45" s="1"/>
      <c r="B45" s="1"/>
      <c r="C45" s="5" t="s">
        <v>161</v>
      </c>
      <c r="D45" s="1"/>
      <c r="E45" s="1"/>
      <c r="F45" s="1"/>
      <c r="G45" s="1"/>
      <c r="H45" s="1"/>
      <c r="I45" s="1"/>
      <c r="J45" s="1"/>
      <c r="K45" s="15" t="s">
        <v>12</v>
      </c>
      <c r="L45" s="12"/>
      <c r="M45" s="64" t="n">
        <v>50000</v>
      </c>
      <c r="N45" s="64" t="n">
        <v>50000</v>
      </c>
      <c r="O45" s="64" t="n">
        <v>50000</v>
      </c>
      <c r="P45" s="64" t="n">
        <v>50000</v>
      </c>
      <c r="Q45" s="64" t="n">
        <v>50000</v>
      </c>
      <c r="R45" s="64" t="n">
        <v>50000</v>
      </c>
      <c r="S45" s="64" t="n">
        <v>50000</v>
      </c>
      <c r="T45" s="64" t="n">
        <v>50000</v>
      </c>
    </row>
    <row r="46" customFormat="false" ht="13.8" hidden="false" customHeight="false" outlineLevel="1" collapsed="false">
      <c r="A46" s="1"/>
      <c r="B46" s="1"/>
      <c r="C46" s="5" t="s">
        <v>162</v>
      </c>
      <c r="D46" s="1"/>
      <c r="E46" s="1"/>
      <c r="F46" s="1"/>
      <c r="G46" s="1"/>
      <c r="H46" s="1"/>
      <c r="I46" s="1"/>
      <c r="J46" s="1"/>
      <c r="K46" s="15" t="s">
        <v>33</v>
      </c>
      <c r="L46" s="12"/>
      <c r="M46" s="88" t="n">
        <v>0.00375</v>
      </c>
      <c r="N46" s="88" t="n">
        <v>0.00375</v>
      </c>
      <c r="O46" s="88" t="n">
        <v>0.0028</v>
      </c>
      <c r="P46" s="88" t="n">
        <v>0.0019</v>
      </c>
      <c r="Q46" s="88" t="n">
        <v>0.0028</v>
      </c>
      <c r="R46" s="88" t="n">
        <v>0.0028</v>
      </c>
      <c r="S46" s="88" t="n">
        <v>0.0019</v>
      </c>
      <c r="T46" s="88" t="n">
        <v>0.0009</v>
      </c>
    </row>
    <row r="47" customFormat="false" ht="13.8" hidden="false" customHeight="false" outlineLevel="1" collapsed="false">
      <c r="A47" s="1"/>
      <c r="B47" s="1"/>
      <c r="C47" s="1"/>
      <c r="D47" s="1"/>
      <c r="E47" s="1"/>
      <c r="F47" s="1"/>
      <c r="G47" s="1"/>
      <c r="H47" s="1"/>
      <c r="I47" s="1"/>
      <c r="J47" s="1"/>
      <c r="K47" s="1"/>
      <c r="L47" s="12"/>
      <c r="M47" s="1"/>
      <c r="N47" s="1"/>
      <c r="O47" s="1"/>
      <c r="P47" s="1"/>
      <c r="Q47" s="1"/>
      <c r="R47" s="1"/>
      <c r="S47" s="1"/>
      <c r="T47" s="1"/>
    </row>
    <row r="48" customFormat="false" ht="14.9" hidden="false" customHeight="false" outlineLevel="1" collapsed="false">
      <c r="A48" s="1"/>
      <c r="B48" s="1"/>
      <c r="C48" s="5" t="s">
        <v>163</v>
      </c>
      <c r="D48" s="1"/>
      <c r="E48" s="1"/>
      <c r="F48" s="1"/>
      <c r="G48" s="1"/>
      <c r="H48" s="1"/>
      <c r="I48" s="1"/>
      <c r="J48" s="1"/>
      <c r="K48" s="15" t="s">
        <v>164</v>
      </c>
      <c r="L48" s="12"/>
      <c r="M48" s="63" t="b">
        <f aca="false">TRUE()</f>
        <v>1</v>
      </c>
      <c r="N48" s="63" t="b">
        <f aca="false">TRUE()</f>
        <v>1</v>
      </c>
      <c r="O48" s="63" t="b">
        <f aca="false">TRUE()</f>
        <v>1</v>
      </c>
      <c r="P48" s="63" t="b">
        <f aca="false">TRUE()</f>
        <v>1</v>
      </c>
      <c r="Q48" s="63" t="b">
        <f aca="false">TRUE()</f>
        <v>1</v>
      </c>
      <c r="R48" s="63" t="b">
        <f aca="false">TRUE()</f>
        <v>1</v>
      </c>
      <c r="S48" s="63" t="b">
        <f aca="false">TRUE()</f>
        <v>1</v>
      </c>
      <c r="T48" s="63" t="b">
        <f aca="false">TRUE()</f>
        <v>1</v>
      </c>
    </row>
    <row r="49" customFormat="false" ht="13.8" hidden="false" customHeight="false" outlineLevel="1" collapsed="false">
      <c r="A49" s="1"/>
      <c r="B49" s="1"/>
      <c r="C49" s="5" t="s">
        <v>165</v>
      </c>
      <c r="D49" s="1"/>
      <c r="E49" s="1"/>
      <c r="F49" s="1"/>
      <c r="G49" s="1"/>
      <c r="H49" s="1"/>
      <c r="I49" s="1"/>
      <c r="J49" s="1"/>
      <c r="K49" s="15" t="s">
        <v>33</v>
      </c>
      <c r="L49" s="12"/>
      <c r="M49" s="88" t="n">
        <v>0.00375</v>
      </c>
      <c r="N49" s="88" t="n">
        <v>0.00375</v>
      </c>
      <c r="O49" s="88" t="n">
        <v>0.0028</v>
      </c>
      <c r="P49" s="88" t="n">
        <v>0.0019</v>
      </c>
      <c r="Q49" s="88" t="n">
        <v>0.0028</v>
      </c>
      <c r="R49" s="88" t="n">
        <v>0.0028</v>
      </c>
      <c r="S49" s="88" t="n">
        <v>0.0019</v>
      </c>
      <c r="T49" s="88" t="n">
        <v>0.0009</v>
      </c>
    </row>
    <row r="50" customFormat="false" ht="13.8" hidden="false" customHeight="false" outlineLevel="1" collapsed="false">
      <c r="A50" s="1"/>
      <c r="B50" s="1"/>
      <c r="C50" s="1"/>
      <c r="D50" s="1"/>
      <c r="E50" s="1"/>
      <c r="F50" s="1"/>
      <c r="G50" s="1"/>
      <c r="H50" s="1"/>
      <c r="I50" s="1"/>
      <c r="J50" s="1"/>
      <c r="K50" s="1"/>
      <c r="L50" s="12"/>
      <c r="M50" s="1"/>
      <c r="N50" s="1"/>
      <c r="O50" s="1"/>
      <c r="P50" s="1"/>
    </row>
    <row r="51" customFormat="false" ht="13.8" hidden="false" customHeight="false" outlineLevel="1" collapsed="false">
      <c r="A51" s="1"/>
      <c r="B51" s="1"/>
      <c r="C51" s="14" t="s">
        <v>166</v>
      </c>
      <c r="D51" s="1"/>
      <c r="E51" s="1"/>
      <c r="F51" s="1"/>
      <c r="G51" s="1"/>
      <c r="H51" s="1"/>
      <c r="I51" s="1"/>
      <c r="J51" s="1"/>
      <c r="K51" s="1"/>
      <c r="L51" s="12"/>
      <c r="M51" s="1"/>
      <c r="P51" s="1"/>
    </row>
    <row r="52" customFormat="false" ht="13.8" hidden="false" customHeight="false" outlineLevel="1" collapsed="false">
      <c r="A52" s="1"/>
      <c r="B52" s="1"/>
      <c r="C52" s="1" t="s">
        <v>167</v>
      </c>
      <c r="D52" s="1"/>
      <c r="E52" s="1"/>
      <c r="F52" s="1"/>
      <c r="G52" s="1"/>
      <c r="H52" s="1"/>
      <c r="I52" s="1"/>
      <c r="J52" s="1"/>
      <c r="K52" s="15" t="s">
        <v>33</v>
      </c>
      <c r="L52" s="12"/>
      <c r="M52" s="63" t="n">
        <v>0.0692</v>
      </c>
      <c r="N52" s="63" t="n">
        <v>0.0692</v>
      </c>
      <c r="O52" s="63" t="n">
        <v>0.0923</v>
      </c>
      <c r="P52" s="63" t="n">
        <v>0.1384</v>
      </c>
      <c r="Q52" s="63" t="n">
        <v>0.2768</v>
      </c>
      <c r="R52" s="63" t="n">
        <v>0.2768</v>
      </c>
      <c r="S52" s="63" t="n">
        <v>0.2768</v>
      </c>
      <c r="T52" s="63" t="n">
        <v>0.2768</v>
      </c>
    </row>
    <row r="53" customFormat="false" ht="13.8" hidden="false" customHeight="false" outlineLevel="1" collapsed="false">
      <c r="A53" s="1"/>
      <c r="B53" s="1"/>
      <c r="C53" s="1" t="s">
        <v>168</v>
      </c>
      <c r="D53" s="1"/>
      <c r="E53" s="1"/>
      <c r="F53" s="1"/>
      <c r="G53" s="1"/>
      <c r="H53" s="1"/>
      <c r="I53" s="1"/>
      <c r="J53" s="1"/>
      <c r="K53" s="15" t="s">
        <v>33</v>
      </c>
      <c r="L53" s="12"/>
      <c r="M53" s="63" t="n">
        <v>0</v>
      </c>
      <c r="P53" s="1"/>
    </row>
    <row r="54" customFormat="false" ht="13.8" hidden="false" customHeight="false" outlineLevel="1" collapsed="false">
      <c r="A54" s="1"/>
      <c r="B54" s="1"/>
      <c r="C54" s="1"/>
      <c r="D54" s="1"/>
      <c r="E54" s="1"/>
      <c r="F54" s="1"/>
      <c r="G54" s="1"/>
      <c r="H54" s="1"/>
      <c r="I54" s="1"/>
      <c r="J54" s="1"/>
      <c r="K54" s="1"/>
      <c r="L54" s="12"/>
      <c r="M54" s="1"/>
      <c r="P54" s="1"/>
    </row>
    <row r="55" customFormat="false" ht="13.8" hidden="false" customHeight="false" outlineLevel="1" collapsed="false">
      <c r="A55" s="1"/>
      <c r="B55" s="1"/>
      <c r="C55" s="6" t="s">
        <v>169</v>
      </c>
      <c r="D55" s="1"/>
      <c r="E55" s="1"/>
      <c r="F55" s="1"/>
      <c r="G55" s="1"/>
      <c r="H55" s="1"/>
      <c r="I55" s="1"/>
      <c r="J55" s="1"/>
      <c r="K55" s="1"/>
      <c r="L55" s="12"/>
      <c r="M55" s="1"/>
      <c r="P55" s="1"/>
    </row>
    <row r="56" customFormat="false" ht="13.8" hidden="false" customHeight="false" outlineLevel="1" collapsed="false">
      <c r="A56" s="1"/>
      <c r="B56" s="1"/>
      <c r="C56" s="1" t="s">
        <v>170</v>
      </c>
      <c r="D56" s="1"/>
      <c r="E56" s="1"/>
      <c r="F56" s="1"/>
      <c r="G56" s="1"/>
      <c r="H56" s="1"/>
      <c r="I56" s="1"/>
      <c r="J56" s="1"/>
      <c r="K56" s="15" t="s">
        <v>33</v>
      </c>
      <c r="L56" s="12"/>
      <c r="M56" s="63" t="n">
        <v>0.25</v>
      </c>
      <c r="P56" s="1"/>
    </row>
    <row r="57" customFormat="false" ht="13.8" hidden="false" customHeight="false" outlineLevel="1" collapsed="false">
      <c r="A57" s="1"/>
      <c r="B57" s="1"/>
      <c r="C57" s="1"/>
      <c r="D57" s="1"/>
      <c r="E57" s="1"/>
      <c r="F57" s="1"/>
      <c r="G57" s="1"/>
      <c r="H57" s="1"/>
      <c r="I57" s="1"/>
      <c r="J57" s="1"/>
      <c r="K57" s="1"/>
      <c r="L57" s="12"/>
      <c r="M57" s="1"/>
      <c r="P57" s="1"/>
    </row>
    <row r="58" customFormat="false" ht="13.8" hidden="false" customHeight="false" outlineLevel="1" collapsed="false">
      <c r="A58" s="1"/>
      <c r="B58" s="1"/>
      <c r="C58" s="14" t="s">
        <v>171</v>
      </c>
      <c r="D58" s="1"/>
      <c r="E58" s="1"/>
      <c r="F58" s="1"/>
      <c r="G58" s="1"/>
      <c r="H58" s="1"/>
      <c r="I58" s="1"/>
      <c r="J58" s="1"/>
      <c r="K58" s="1"/>
      <c r="L58" s="12"/>
      <c r="M58" s="1"/>
      <c r="P58" s="1"/>
    </row>
    <row r="59" customFormat="false" ht="13.8" hidden="false" customHeight="false" outlineLevel="1" collapsed="false">
      <c r="A59" s="1"/>
      <c r="B59" s="1"/>
      <c r="C59" s="1" t="s">
        <v>172</v>
      </c>
      <c r="D59" s="1"/>
      <c r="E59" s="1"/>
      <c r="F59" s="1"/>
      <c r="G59" s="1"/>
      <c r="H59" s="1"/>
      <c r="I59" s="1"/>
      <c r="J59" s="1"/>
      <c r="K59" s="15" t="s">
        <v>12</v>
      </c>
      <c r="L59" s="12"/>
      <c r="M59" s="64" t="n">
        <v>1000</v>
      </c>
      <c r="P59" s="1"/>
    </row>
    <row r="60" customFormat="false" ht="13.8" hidden="false" customHeight="false" outlineLevel="1" collapsed="false">
      <c r="A60" s="1"/>
      <c r="B60" s="1"/>
      <c r="C60" s="1" t="s">
        <v>173</v>
      </c>
      <c r="D60" s="1"/>
      <c r="E60" s="1"/>
      <c r="F60" s="1"/>
      <c r="G60" s="1"/>
      <c r="H60" s="1"/>
      <c r="I60" s="1"/>
      <c r="J60" s="1"/>
      <c r="K60" s="15" t="s">
        <v>33</v>
      </c>
      <c r="L60" s="12"/>
      <c r="M60" s="63" t="n">
        <v>0.5</v>
      </c>
      <c r="P60" s="1"/>
    </row>
    <row r="61" customFormat="false" ht="13.8" hidden="false" customHeight="false" outlineLevel="1" collapsed="false">
      <c r="A61" s="1"/>
      <c r="B61" s="1"/>
      <c r="C61" s="1"/>
      <c r="D61" s="1"/>
      <c r="E61" s="1"/>
      <c r="F61" s="1"/>
      <c r="G61" s="1"/>
      <c r="H61" s="1"/>
      <c r="I61" s="1"/>
      <c r="J61" s="1"/>
      <c r="K61" s="1"/>
      <c r="L61" s="12"/>
      <c r="M61" s="1"/>
      <c r="P61" s="1"/>
    </row>
    <row r="62" customFormat="false" ht="13.8" hidden="false" customHeight="false" outlineLevel="1" collapsed="false">
      <c r="A62" s="1"/>
      <c r="B62" s="1"/>
      <c r="C62" s="14" t="s">
        <v>174</v>
      </c>
      <c r="D62" s="1"/>
      <c r="E62" s="1"/>
      <c r="F62" s="1"/>
      <c r="G62" s="1"/>
      <c r="H62" s="1"/>
      <c r="I62" s="1"/>
      <c r="J62" s="1"/>
      <c r="K62" s="1"/>
      <c r="L62" s="12"/>
      <c r="M62" s="1"/>
      <c r="P62" s="1"/>
    </row>
    <row r="63" customFormat="false" ht="13.8" hidden="false" customHeight="false" outlineLevel="1" collapsed="false">
      <c r="A63" s="1"/>
      <c r="B63" s="1"/>
      <c r="C63" s="1" t="s">
        <v>175</v>
      </c>
      <c r="D63" s="1"/>
      <c r="E63" s="1"/>
      <c r="F63" s="1"/>
      <c r="G63" s="1"/>
      <c r="H63" s="1"/>
      <c r="I63" s="1"/>
      <c r="J63" s="1"/>
      <c r="K63" s="15" t="s">
        <v>33</v>
      </c>
      <c r="L63" s="12"/>
      <c r="M63" s="89" t="n">
        <v>1</v>
      </c>
      <c r="P63" s="1"/>
    </row>
    <row r="64" customFormat="false" ht="13.8" hidden="false" customHeight="false" outlineLevel="1" collapsed="false">
      <c r="L64" s="90"/>
    </row>
    <row r="65" customFormat="false" ht="13.8" hidden="false" customHeight="false" outlineLevel="1" collapsed="false">
      <c r="C65" s="1" t="s">
        <v>176</v>
      </c>
      <c r="K65" s="15" t="s">
        <v>33</v>
      </c>
      <c r="L65" s="12"/>
      <c r="M65" s="89" t="n">
        <v>0.95</v>
      </c>
    </row>
    <row r="66" customFormat="false" ht="13.8" hidden="false" customHeight="false" outlineLevel="1" collapsed="false">
      <c r="L66" s="90"/>
    </row>
    <row r="67" customFormat="false" ht="13.8" hidden="false" customHeight="false" outlineLevel="1" collapsed="false">
      <c r="C67" s="5" t="s">
        <v>177</v>
      </c>
      <c r="K67" s="15" t="s">
        <v>139</v>
      </c>
      <c r="L67" s="90"/>
      <c r="M67" s="91" t="n">
        <v>2</v>
      </c>
    </row>
    <row r="68" customFormat="false" ht="13.8" hidden="false" customHeight="false" outlineLevel="1" collapsed="false">
      <c r="C68" s="5" t="s">
        <v>178</v>
      </c>
      <c r="K68" s="15" t="s">
        <v>33</v>
      </c>
      <c r="L68" s="90"/>
      <c r="M68" s="89" t="n">
        <v>0.12</v>
      </c>
    </row>
    <row r="69" customFormat="false" ht="13.8" hidden="false" customHeight="false" outlineLevel="1" collapsed="false">
      <c r="K69" s="15"/>
      <c r="L69" s="90"/>
    </row>
    <row r="70" customFormat="false" ht="13.8" hidden="false" customHeight="false" outlineLevel="1" collapsed="false">
      <c r="C70" s="14" t="s">
        <v>179</v>
      </c>
      <c r="L70" s="90"/>
    </row>
    <row r="71" customFormat="false" ht="13.8" hidden="false" customHeight="false" outlineLevel="1" collapsed="false">
      <c r="C71" s="5" t="s">
        <v>180</v>
      </c>
      <c r="K71" s="15" t="s">
        <v>43</v>
      </c>
      <c r="L71" s="90"/>
      <c r="M71" s="92" t="n">
        <v>1.5</v>
      </c>
    </row>
    <row r="72" customFormat="false" ht="13.8" hidden="false" customHeight="false" outlineLevel="1" collapsed="false">
      <c r="C72" s="5" t="s">
        <v>181</v>
      </c>
      <c r="K72" s="15" t="s">
        <v>12</v>
      </c>
      <c r="L72" s="90"/>
      <c r="M72" s="67" t="n">
        <v>3000</v>
      </c>
    </row>
    <row r="73" customFormat="false" ht="13.8" hidden="false" customHeight="false" outlineLevel="1" collapsed="false">
      <c r="C73" s="5" t="s">
        <v>182</v>
      </c>
      <c r="K73" s="15" t="s">
        <v>33</v>
      </c>
      <c r="L73" s="90"/>
      <c r="M73" s="89" t="n">
        <v>0.3</v>
      </c>
    </row>
    <row r="74" customFormat="false" ht="13.8" hidden="false" customHeight="false" outlineLevel="1" collapsed="false">
      <c r="C74" s="5" t="s">
        <v>183</v>
      </c>
      <c r="K74" s="15" t="s">
        <v>12</v>
      </c>
      <c r="L74" s="90"/>
      <c r="M74" s="67" t="n">
        <v>1000</v>
      </c>
    </row>
    <row r="75" customFormat="false" ht="13.8" hidden="false" customHeight="false" outlineLevel="1" collapsed="false">
      <c r="C75" s="5" t="s">
        <v>184</v>
      </c>
      <c r="K75" s="15" t="s">
        <v>33</v>
      </c>
      <c r="L75" s="90"/>
      <c r="M75" s="89" t="n">
        <v>0.1</v>
      </c>
    </row>
    <row r="76" customFormat="false" ht="13.8" hidden="false" customHeight="false" outlineLevel="1" collapsed="false">
      <c r="C76" s="5" t="s">
        <v>185</v>
      </c>
      <c r="K76" s="15" t="s">
        <v>33</v>
      </c>
      <c r="L76" s="90"/>
      <c r="M76" s="89" t="n">
        <v>0.333333333333333</v>
      </c>
    </row>
    <row r="77" customFormat="false" ht="13.8" hidden="false" customHeight="false" outlineLevel="1" collapsed="false">
      <c r="L77" s="90"/>
    </row>
    <row r="78" customFormat="false" ht="13.8" hidden="false" customHeight="false" outlineLevel="1" collapsed="false">
      <c r="C78" s="14" t="s">
        <v>186</v>
      </c>
      <c r="L78" s="90"/>
    </row>
    <row r="79" customFormat="false" ht="13.8" hidden="false" customHeight="false" outlineLevel="1" collapsed="false">
      <c r="C79" s="1" t="s">
        <v>187</v>
      </c>
      <c r="D79" s="1"/>
      <c r="E79" s="1"/>
      <c r="F79" s="1"/>
      <c r="G79" s="1"/>
      <c r="H79" s="1"/>
      <c r="I79" s="1"/>
      <c r="J79" s="1"/>
      <c r="K79" s="15" t="s">
        <v>33</v>
      </c>
      <c r="L79" s="12"/>
      <c r="M79" s="63" t="n">
        <v>0.0587</v>
      </c>
    </row>
    <row r="80" customFormat="false" ht="13.8" hidden="false" customHeight="false" outlineLevel="1" collapsed="false">
      <c r="L80" s="90"/>
    </row>
    <row r="81" customFormat="false" ht="13.8" hidden="false" customHeight="false" outlineLevel="1" collapsed="false">
      <c r="C81" s="6" t="s">
        <v>188</v>
      </c>
      <c r="L81" s="90"/>
    </row>
    <row r="82" customFormat="false" ht="13.8" hidden="false" customHeight="false" outlineLevel="1" collapsed="false">
      <c r="C82" s="5" t="s">
        <v>189</v>
      </c>
      <c r="K82" s="15" t="s">
        <v>33</v>
      </c>
      <c r="L82" s="12"/>
      <c r="M82" s="63" t="n">
        <v>0.1</v>
      </c>
    </row>
    <row r="83" customFormat="false" ht="13.8" hidden="false" customHeight="false" outlineLevel="1" collapsed="false">
      <c r="C83" s="5" t="s">
        <v>190</v>
      </c>
      <c r="K83" s="15" t="s">
        <v>33</v>
      </c>
      <c r="L83" s="12"/>
      <c r="M83" s="63" t="n">
        <v>0.05</v>
      </c>
    </row>
    <row r="84" customFormat="false" ht="13.8" hidden="false" customHeight="false" outlineLevel="1" collapsed="false">
      <c r="L84" s="90"/>
    </row>
    <row r="85" customFormat="false" ht="13.8" hidden="false" customHeight="false" outlineLevel="1" collapsed="false">
      <c r="A85" s="1"/>
      <c r="B85" s="1"/>
      <c r="C85" s="6" t="s">
        <v>191</v>
      </c>
      <c r="D85" s="1"/>
      <c r="E85" s="1"/>
      <c r="F85" s="1"/>
      <c r="G85" s="1"/>
      <c r="H85" s="1"/>
      <c r="I85" s="1"/>
      <c r="J85" s="1"/>
      <c r="K85" s="1"/>
      <c r="L85" s="12"/>
      <c r="M85" s="1"/>
      <c r="P85" s="1"/>
    </row>
    <row r="86" customFormat="false" ht="13.8" hidden="false" customHeight="false" outlineLevel="1" collapsed="false">
      <c r="A86" s="1"/>
      <c r="B86" s="1"/>
      <c r="C86" s="14" t="s">
        <v>192</v>
      </c>
      <c r="D86" s="1"/>
      <c r="E86" s="1"/>
      <c r="F86" s="1"/>
      <c r="G86" s="1"/>
      <c r="H86" s="1"/>
      <c r="I86" s="1"/>
      <c r="J86" s="1"/>
      <c r="K86" s="1"/>
      <c r="L86" s="12"/>
      <c r="M86" s="1"/>
      <c r="P86" s="1"/>
    </row>
    <row r="87" customFormat="false" ht="13.8" hidden="false" customHeight="false" outlineLevel="1" collapsed="false">
      <c r="A87" s="1"/>
      <c r="B87" s="1"/>
      <c r="C87" s="1" t="s">
        <v>193</v>
      </c>
      <c r="D87" s="1"/>
      <c r="E87" s="1"/>
      <c r="F87" s="1"/>
      <c r="G87" s="1"/>
      <c r="H87" s="1"/>
      <c r="I87" s="1"/>
      <c r="J87" s="1"/>
      <c r="K87" s="15" t="s">
        <v>12</v>
      </c>
      <c r="L87" s="12"/>
      <c r="M87" s="67" t="n">
        <v>7630</v>
      </c>
      <c r="P87" s="1"/>
    </row>
    <row r="88" customFormat="false" ht="13.8" hidden="false" customHeight="false" outlineLevel="1" collapsed="false">
      <c r="A88" s="1"/>
      <c r="B88" s="1"/>
      <c r="C88" s="1" t="s">
        <v>194</v>
      </c>
      <c r="D88" s="1"/>
      <c r="E88" s="1"/>
      <c r="F88" s="1"/>
      <c r="G88" s="1"/>
      <c r="H88" s="1"/>
      <c r="I88" s="1"/>
      <c r="J88" s="1"/>
      <c r="K88" s="15" t="s">
        <v>12</v>
      </c>
      <c r="L88" s="12"/>
      <c r="M88" s="67" t="n">
        <v>763</v>
      </c>
      <c r="P88" s="1"/>
    </row>
    <row r="89" customFormat="false" ht="13.8" hidden="false" customHeight="false" outlineLevel="1" collapsed="false">
      <c r="A89" s="1"/>
      <c r="B89" s="1"/>
      <c r="C89" s="1" t="s">
        <v>195</v>
      </c>
      <c r="D89" s="1"/>
      <c r="E89" s="1"/>
      <c r="F89" s="1"/>
      <c r="G89" s="1"/>
      <c r="H89" s="1"/>
      <c r="I89" s="1"/>
      <c r="J89" s="1"/>
      <c r="K89" s="15" t="s">
        <v>33</v>
      </c>
      <c r="L89" s="12"/>
      <c r="M89" s="89" t="n">
        <v>0.033</v>
      </c>
      <c r="P89" s="1"/>
    </row>
    <row r="90" customFormat="false" ht="13.8" hidden="false" customHeight="false" outlineLevel="1" collapsed="false">
      <c r="L90" s="12"/>
    </row>
    <row r="91" customFormat="false" ht="13.8" hidden="false" customHeight="false" outlineLevel="1" collapsed="false">
      <c r="A91" s="1"/>
      <c r="B91" s="1"/>
      <c r="C91" s="6" t="s">
        <v>196</v>
      </c>
      <c r="D91" s="1"/>
      <c r="E91" s="1"/>
      <c r="F91" s="1"/>
      <c r="G91" s="1"/>
      <c r="H91" s="1"/>
      <c r="I91" s="1"/>
      <c r="J91" s="1"/>
      <c r="K91" s="1"/>
      <c r="L91" s="12"/>
      <c r="M91" s="1"/>
      <c r="P91" s="1"/>
    </row>
    <row r="92" customFormat="false" ht="13.8" hidden="false" customHeight="false" outlineLevel="1" collapsed="false">
      <c r="A92" s="1"/>
      <c r="B92" s="1"/>
      <c r="C92" s="14" t="s">
        <v>197</v>
      </c>
      <c r="D92" s="1"/>
      <c r="E92" s="1"/>
      <c r="F92" s="1"/>
      <c r="G92" s="1"/>
      <c r="H92" s="1"/>
      <c r="I92" s="1"/>
      <c r="J92" s="1"/>
      <c r="K92" s="1"/>
      <c r="L92" s="12"/>
      <c r="M92" s="1"/>
      <c r="P92" s="1"/>
    </row>
    <row r="93" customFormat="false" ht="13.8" hidden="false" customHeight="false" outlineLevel="1" collapsed="false">
      <c r="A93" s="1"/>
      <c r="B93" s="1"/>
      <c r="C93" s="1" t="s">
        <v>198</v>
      </c>
      <c r="D93" s="1"/>
      <c r="E93" s="1"/>
      <c r="F93" s="1"/>
      <c r="G93" s="1"/>
      <c r="H93" s="1"/>
      <c r="I93" s="1"/>
      <c r="J93" s="1"/>
      <c r="K93" s="15" t="s">
        <v>25</v>
      </c>
      <c r="L93" s="12"/>
      <c r="M93" s="66" t="n">
        <v>44197</v>
      </c>
      <c r="P93" s="1"/>
    </row>
    <row r="94" customFormat="false" ht="13.8" hidden="false" customHeight="false" outlineLevel="1" collapsed="false">
      <c r="A94" s="1"/>
      <c r="B94" s="1"/>
      <c r="C94" s="1" t="s">
        <v>199</v>
      </c>
      <c r="D94" s="1"/>
      <c r="E94" s="1"/>
      <c r="F94" s="1"/>
      <c r="G94" s="1"/>
      <c r="H94" s="1"/>
      <c r="I94" s="1"/>
      <c r="J94" s="1"/>
      <c r="K94" s="15" t="s">
        <v>139</v>
      </c>
      <c r="L94" s="12"/>
      <c r="M94" s="67" t="n">
        <v>20</v>
      </c>
      <c r="P94" s="1"/>
    </row>
    <row r="95" customFormat="false" ht="13.8" hidden="false" customHeight="false" outlineLevel="1" collapsed="false">
      <c r="A95" s="1"/>
      <c r="B95" s="1"/>
      <c r="C95" s="1" t="s">
        <v>200</v>
      </c>
      <c r="D95" s="1"/>
      <c r="E95" s="1"/>
      <c r="F95" s="1"/>
      <c r="G95" s="1"/>
      <c r="H95" s="1"/>
      <c r="I95" s="1"/>
      <c r="J95" s="1"/>
      <c r="K95" s="15" t="s">
        <v>201</v>
      </c>
      <c r="L95" s="12"/>
      <c r="M95" s="93" t="n">
        <v>8.51</v>
      </c>
      <c r="P95" s="1"/>
    </row>
    <row r="96" customFormat="false" ht="13.8" hidden="false" customHeight="false" outlineLevel="1" collapsed="false">
      <c r="A96" s="1"/>
      <c r="B96" s="1"/>
      <c r="C96" s="1" t="s">
        <v>202</v>
      </c>
      <c r="D96" s="1"/>
      <c r="E96" s="1"/>
      <c r="F96" s="1"/>
      <c r="G96" s="1"/>
      <c r="H96" s="1"/>
      <c r="I96" s="1"/>
      <c r="J96" s="1"/>
      <c r="K96" s="15" t="s">
        <v>201</v>
      </c>
      <c r="L96" s="12"/>
      <c r="M96" s="93" t="n">
        <v>3.542</v>
      </c>
      <c r="P96" s="1"/>
    </row>
    <row r="97" customFormat="false" ht="13.8" hidden="false" customHeight="false" outlineLevel="1" collapsed="false">
      <c r="A97" s="1"/>
      <c r="B97" s="1"/>
      <c r="C97" s="1" t="s">
        <v>203</v>
      </c>
      <c r="D97" s="1"/>
      <c r="E97" s="1"/>
      <c r="F97" s="1"/>
      <c r="G97" s="1"/>
      <c r="H97" s="1"/>
      <c r="I97" s="1"/>
      <c r="J97" s="1"/>
      <c r="K97" s="15" t="s">
        <v>201</v>
      </c>
      <c r="L97" s="12"/>
      <c r="M97" s="93" t="n">
        <v>8.51</v>
      </c>
      <c r="P97" s="1"/>
    </row>
    <row r="98" customFormat="false" ht="13.8" hidden="false" customHeight="false" outlineLevel="1" collapsed="false">
      <c r="A98" s="1"/>
      <c r="B98" s="1"/>
      <c r="C98" s="1"/>
      <c r="D98" s="1"/>
      <c r="E98" s="1"/>
      <c r="F98" s="1"/>
      <c r="G98" s="1"/>
      <c r="H98" s="1"/>
      <c r="I98" s="1"/>
      <c r="J98" s="1"/>
      <c r="K98" s="1"/>
      <c r="L98" s="12"/>
      <c r="M98" s="1"/>
      <c r="P98" s="1"/>
    </row>
    <row r="99" customFormat="false" ht="13.8" hidden="false" customHeight="false" outlineLevel="1" collapsed="false">
      <c r="A99" s="1"/>
      <c r="B99" s="1"/>
      <c r="C99" s="14" t="s">
        <v>204</v>
      </c>
      <c r="D99" s="1"/>
      <c r="E99" s="1"/>
      <c r="F99" s="1"/>
      <c r="G99" s="1"/>
      <c r="H99" s="1"/>
      <c r="I99" s="1"/>
      <c r="J99" s="1"/>
      <c r="K99" s="1"/>
      <c r="L99" s="12"/>
      <c r="M99" s="1"/>
      <c r="P99" s="1"/>
    </row>
    <row r="100" customFormat="false" ht="13.8" hidden="false" customHeight="false" outlineLevel="1" collapsed="false">
      <c r="A100" s="1"/>
      <c r="B100" s="1"/>
      <c r="C100" s="1" t="s">
        <v>196</v>
      </c>
      <c r="D100" s="1"/>
      <c r="E100" s="1"/>
      <c r="F100" s="1"/>
      <c r="G100" s="1"/>
      <c r="H100" s="1"/>
      <c r="I100" s="1"/>
      <c r="J100" s="1"/>
      <c r="K100" s="15" t="s">
        <v>201</v>
      </c>
      <c r="L100" s="12"/>
      <c r="M100" s="93" t="n">
        <v>8.36</v>
      </c>
      <c r="P100" s="1"/>
    </row>
    <row r="101" customFormat="false" ht="13.8" hidden="false" customHeight="false" outlineLevel="1" collapsed="false">
      <c r="A101" s="1"/>
      <c r="B101" s="1"/>
      <c r="C101" s="1"/>
      <c r="D101" s="1"/>
      <c r="E101" s="1"/>
      <c r="F101" s="1"/>
      <c r="G101" s="1"/>
      <c r="H101" s="1"/>
      <c r="I101" s="1"/>
      <c r="J101" s="1"/>
      <c r="K101" s="1"/>
      <c r="L101" s="12"/>
      <c r="M101" s="1"/>
      <c r="P101" s="1"/>
    </row>
    <row r="102" customFormat="false" ht="13.8" hidden="false" customHeight="false" outlineLevel="1" collapsed="false">
      <c r="A102" s="1"/>
      <c r="B102" s="1"/>
      <c r="C102" s="1" t="s">
        <v>205</v>
      </c>
      <c r="D102" s="1"/>
      <c r="E102" s="1"/>
      <c r="F102" s="1"/>
      <c r="G102" s="1"/>
      <c r="H102" s="1"/>
      <c r="I102" s="1"/>
      <c r="J102" s="1"/>
      <c r="K102" s="15" t="s">
        <v>80</v>
      </c>
      <c r="L102" s="12"/>
      <c r="M102" s="94" t="s">
        <v>206</v>
      </c>
      <c r="P102" s="1"/>
    </row>
    <row r="103" customFormat="false" ht="13.8" hidden="false" customHeight="false" outlineLevel="1" collapsed="false">
      <c r="A103" s="1"/>
      <c r="B103" s="1"/>
      <c r="C103" s="1" t="s">
        <v>207</v>
      </c>
      <c r="D103" s="1"/>
      <c r="E103" s="1"/>
      <c r="F103" s="1"/>
      <c r="G103" s="1"/>
      <c r="H103" s="1"/>
      <c r="I103" s="1"/>
      <c r="J103" s="1"/>
      <c r="K103" s="15" t="s">
        <v>139</v>
      </c>
      <c r="L103" s="12"/>
      <c r="M103" s="87" t="n">
        <v>2025</v>
      </c>
      <c r="P103" s="1"/>
    </row>
    <row r="104" customFormat="false" ht="13.8" hidden="false" customHeight="false" outlineLevel="1" collapsed="false">
      <c r="A104" s="1"/>
      <c r="B104" s="1"/>
      <c r="C104" s="1"/>
      <c r="D104" s="1"/>
      <c r="E104" s="1"/>
      <c r="F104" s="1"/>
      <c r="G104" s="1"/>
      <c r="H104" s="1"/>
      <c r="I104" s="1"/>
      <c r="J104" s="1"/>
      <c r="K104" s="1"/>
      <c r="L104" s="12"/>
      <c r="M104" s="1"/>
      <c r="N104" s="1"/>
      <c r="O104" s="1"/>
      <c r="P104" s="1"/>
    </row>
    <row r="105" customFormat="false" ht="13.8" hidden="false" customHeight="false" outlineLevel="0" collapsed="false">
      <c r="A105" s="1"/>
      <c r="B105" s="11" t="n">
        <f aca="false">B15+1</f>
        <v>3</v>
      </c>
      <c r="C105" s="11" t="s">
        <v>208</v>
      </c>
      <c r="D105" s="11"/>
      <c r="E105" s="11"/>
      <c r="F105" s="11"/>
      <c r="G105" s="11"/>
      <c r="H105" s="11"/>
      <c r="I105" s="11"/>
      <c r="J105" s="11"/>
      <c r="K105" s="11"/>
      <c r="L105" s="11"/>
      <c r="M105" s="11"/>
      <c r="N105" s="11"/>
      <c r="O105" s="11"/>
      <c r="P105" s="11"/>
    </row>
    <row r="106" customFormat="false" ht="13.8" hidden="false" customHeight="false" outlineLevel="1" collapsed="false">
      <c r="A106" s="1"/>
      <c r="B106" s="1"/>
      <c r="C106" s="1"/>
      <c r="D106" s="1"/>
      <c r="E106" s="1"/>
      <c r="F106" s="1"/>
      <c r="G106" s="1"/>
      <c r="H106" s="1"/>
      <c r="I106" s="1"/>
      <c r="J106" s="1"/>
      <c r="K106" s="1"/>
      <c r="L106" s="12"/>
      <c r="M106" s="1"/>
      <c r="N106" s="1"/>
      <c r="O106" s="1"/>
      <c r="P106" s="1"/>
    </row>
    <row r="107" customFormat="false" ht="13.8" hidden="false" customHeight="false" outlineLevel="1" collapsed="false">
      <c r="A107" s="1"/>
      <c r="B107" s="1"/>
      <c r="C107" s="1" t="s">
        <v>209</v>
      </c>
      <c r="D107" s="1"/>
      <c r="E107" s="1"/>
      <c r="F107" s="1"/>
      <c r="G107" s="1"/>
      <c r="H107" s="1"/>
      <c r="I107" s="1"/>
      <c r="J107" s="1"/>
      <c r="K107" s="15" t="s">
        <v>210</v>
      </c>
      <c r="L107" s="12"/>
      <c r="M107" s="64" t="n">
        <v>2</v>
      </c>
      <c r="N107" s="1"/>
      <c r="O107" s="1"/>
      <c r="P107" s="1"/>
    </row>
    <row r="108" customFormat="false" ht="13.8" hidden="false" customHeight="false" outlineLevel="1" collapsed="false">
      <c r="A108" s="1"/>
      <c r="B108" s="1"/>
      <c r="C108" s="1" t="s">
        <v>211</v>
      </c>
      <c r="D108" s="1"/>
      <c r="E108" s="1"/>
      <c r="F108" s="1"/>
      <c r="G108" s="1"/>
      <c r="H108" s="1"/>
      <c r="I108" s="1"/>
      <c r="J108" s="1"/>
      <c r="K108" s="15" t="s">
        <v>210</v>
      </c>
      <c r="L108" s="12"/>
      <c r="M108" s="64" t="n">
        <v>2</v>
      </c>
      <c r="N108" s="1"/>
      <c r="O108" s="1"/>
      <c r="P108" s="1"/>
    </row>
    <row r="109" customFormat="false" ht="13.8" hidden="false" customHeight="false" outlineLevel="1" collapsed="false">
      <c r="A109" s="1"/>
      <c r="B109" s="1"/>
      <c r="C109" s="1" t="s">
        <v>212</v>
      </c>
      <c r="D109" s="1"/>
      <c r="E109" s="1"/>
      <c r="F109" s="1"/>
      <c r="G109" s="1"/>
      <c r="H109" s="1"/>
      <c r="I109" s="1"/>
      <c r="J109" s="1"/>
      <c r="K109" s="15" t="s">
        <v>213</v>
      </c>
      <c r="L109" s="12"/>
      <c r="M109" s="64" t="n">
        <v>60</v>
      </c>
      <c r="N109" s="1"/>
      <c r="O109" s="1"/>
      <c r="P109" s="1"/>
    </row>
    <row r="110" customFormat="false" ht="13.8" hidden="false" customHeight="false" outlineLevel="1" collapsed="false">
      <c r="A110" s="1"/>
      <c r="B110" s="1"/>
      <c r="C110" s="1"/>
      <c r="D110" s="1"/>
      <c r="E110" s="1"/>
      <c r="F110" s="1"/>
      <c r="G110" s="1"/>
      <c r="H110" s="1"/>
      <c r="I110" s="1"/>
      <c r="J110" s="1"/>
      <c r="K110" s="1"/>
      <c r="L110" s="12"/>
      <c r="M110" s="1"/>
      <c r="N110" s="1"/>
      <c r="O110" s="1"/>
      <c r="P110" s="1"/>
    </row>
    <row r="111" customFormat="false" ht="13.8" hidden="false" customHeight="false" outlineLevel="0" collapsed="false">
      <c r="A111" s="1"/>
      <c r="B111" s="11" t="n">
        <f aca="false">+B105+1</f>
        <v>4</v>
      </c>
      <c r="C111" s="11" t="s">
        <v>214</v>
      </c>
      <c r="D111" s="11"/>
      <c r="E111" s="11"/>
      <c r="F111" s="11"/>
      <c r="G111" s="11"/>
      <c r="H111" s="11"/>
      <c r="I111" s="11"/>
      <c r="J111" s="11"/>
      <c r="K111" s="11"/>
      <c r="L111" s="11"/>
      <c r="M111" s="11"/>
      <c r="N111" s="11"/>
      <c r="O111" s="11"/>
      <c r="P111" s="11"/>
    </row>
    <row r="112" customFormat="false" ht="13.8" hidden="false" customHeight="false" outlineLevel="1" collapsed="false">
      <c r="A112" s="1"/>
      <c r="B112" s="1"/>
      <c r="C112" s="1"/>
      <c r="D112" s="1"/>
      <c r="E112" s="1"/>
      <c r="F112" s="1"/>
      <c r="G112" s="1"/>
      <c r="H112" s="1"/>
      <c r="I112" s="1"/>
      <c r="J112" s="1"/>
      <c r="K112" s="1"/>
      <c r="L112" s="12"/>
      <c r="M112" s="1"/>
      <c r="N112" s="1"/>
      <c r="O112" s="1"/>
      <c r="P112" s="1"/>
    </row>
    <row r="113" customFormat="false" ht="13.8" hidden="false" customHeight="false" outlineLevel="1" collapsed="false">
      <c r="C113" s="14" t="s">
        <v>215</v>
      </c>
      <c r="J113" s="1"/>
      <c r="K113" s="15" t="s">
        <v>32</v>
      </c>
      <c r="L113" s="12"/>
      <c r="M113" s="41" t="s">
        <v>48</v>
      </c>
    </row>
    <row r="114" customFormat="false" ht="13.8" hidden="false" customHeight="false" outlineLevel="1" collapsed="false">
      <c r="C114" s="1" t="str">
        <f aca="false">"Phase "&amp;M114</f>
        <v>Phase 1</v>
      </c>
      <c r="J114" s="1"/>
      <c r="K114" s="15" t="s">
        <v>32</v>
      </c>
      <c r="L114" s="12"/>
      <c r="M114" s="61" t="n">
        <v>1</v>
      </c>
    </row>
    <row r="115" customFormat="false" ht="13.8" hidden="false" customHeight="false" outlineLevel="1" collapsed="false">
      <c r="C115" s="1" t="str">
        <f aca="false">"Phase "&amp;M115</f>
        <v>Phase 2</v>
      </c>
      <c r="J115" s="1"/>
      <c r="K115" s="15" t="s">
        <v>32</v>
      </c>
      <c r="L115" s="12"/>
      <c r="M115" s="61" t="n">
        <v>2</v>
      </c>
    </row>
    <row r="116" customFormat="false" ht="13.8" hidden="false" customHeight="false" outlineLevel="1" collapsed="false">
      <c r="C116" s="1" t="str">
        <f aca="false">"Phase "&amp;M116</f>
        <v>Phase 3</v>
      </c>
      <c r="J116" s="1"/>
      <c r="K116" s="15" t="s">
        <v>32</v>
      </c>
      <c r="L116" s="12"/>
      <c r="M116" s="61" t="n">
        <v>3</v>
      </c>
    </row>
    <row r="117" customFormat="false" ht="13.8" hidden="false" customHeight="false" outlineLevel="1" collapsed="false">
      <c r="C117" s="1" t="str">
        <f aca="false">"Phase "&amp;M117</f>
        <v>Phase 4</v>
      </c>
      <c r="J117" s="1"/>
      <c r="K117" s="15" t="s">
        <v>32</v>
      </c>
      <c r="L117" s="12"/>
      <c r="M117" s="61" t="n">
        <v>4</v>
      </c>
    </row>
    <row r="118" customFormat="false" ht="13.8" hidden="false" customHeight="false" outlineLevel="1" collapsed="false">
      <c r="C118" s="1" t="str">
        <f aca="false">"Phase "&amp;M118</f>
        <v>Phase 5</v>
      </c>
      <c r="J118" s="1"/>
      <c r="K118" s="15" t="s">
        <v>32</v>
      </c>
      <c r="L118" s="12"/>
      <c r="M118" s="61" t="n">
        <v>5</v>
      </c>
    </row>
    <row r="119" customFormat="false" ht="13.8" hidden="false" customHeight="false" outlineLevel="1" collapsed="false">
      <c r="C119" s="1" t="str">
        <f aca="false">"Phase "&amp;M119</f>
        <v>Phase 6</v>
      </c>
      <c r="J119" s="1"/>
      <c r="K119" s="15" t="s">
        <v>32</v>
      </c>
      <c r="L119" s="12"/>
      <c r="M119" s="61" t="n">
        <v>6</v>
      </c>
    </row>
    <row r="120" customFormat="false" ht="13.8" hidden="false" customHeight="false" outlineLevel="1" collapsed="false">
      <c r="C120" s="1" t="str">
        <f aca="false">"Phase "&amp;M120</f>
        <v>Phase 7</v>
      </c>
      <c r="J120" s="1"/>
      <c r="K120" s="15" t="s">
        <v>32</v>
      </c>
      <c r="L120" s="12"/>
      <c r="M120" s="61" t="n">
        <v>7</v>
      </c>
    </row>
    <row r="121" customFormat="false" ht="13.8" hidden="false" customHeight="false" outlineLevel="1" collapsed="false">
      <c r="C121" s="1" t="str">
        <f aca="false">"Phase "&amp;M121</f>
        <v>Phase 8</v>
      </c>
      <c r="J121" s="1"/>
      <c r="K121" s="15" t="s">
        <v>32</v>
      </c>
      <c r="L121" s="12"/>
      <c r="M121" s="61" t="n">
        <v>8</v>
      </c>
    </row>
    <row r="122" customFormat="false" ht="13.8" hidden="false" customHeight="false" outlineLevel="1" collapsed="false">
      <c r="C122" s="1" t="s">
        <v>216</v>
      </c>
      <c r="J122" s="1"/>
      <c r="K122" s="15" t="s">
        <v>32</v>
      </c>
      <c r="L122" s="12"/>
      <c r="M122" s="61" t="n">
        <v>9</v>
      </c>
    </row>
    <row r="123" customFormat="false" ht="13.8" hidden="false" customHeight="false" outlineLevel="1" collapsed="false">
      <c r="L123" s="12"/>
    </row>
    <row r="124" customFormat="false" ht="13.8" hidden="false" customHeight="false" outlineLevel="0" collapsed="false">
      <c r="A124" s="1"/>
      <c r="B124" s="11" t="n">
        <f aca="false">+B111+1</f>
        <v>5</v>
      </c>
      <c r="C124" s="11" t="s">
        <v>217</v>
      </c>
      <c r="D124" s="11"/>
      <c r="E124" s="11"/>
      <c r="F124" s="11"/>
      <c r="G124" s="11"/>
      <c r="H124" s="11"/>
      <c r="I124" s="11"/>
      <c r="J124" s="11"/>
      <c r="K124" s="11"/>
      <c r="L124" s="11"/>
      <c r="M124" s="11"/>
      <c r="N124" s="11"/>
      <c r="O124" s="11"/>
      <c r="P124" s="11"/>
    </row>
    <row r="125" customFormat="false" ht="13.8" hidden="false" customHeight="false" outlineLevel="0" collapsed="false"/>
  </sheetData>
  <conditionalFormatting sqref="M48:T48">
    <cfRule type="expression" priority="2" aboveAverage="0" equalAverage="0" bottom="0" percent="0" rank="0" text="" dxfId="3">
      <formula>M48=1</formula>
    </cfRule>
    <cfRule type="expression" priority="3" aboveAverage="0" equalAverage="0" bottom="0" percent="0" rank="0" text="" dxfId="4">
      <formula>M48=0</formula>
    </cfRule>
  </conditionalFormatting>
  <dataValidations count="2">
    <dataValidation allowBlank="true" errorStyle="stop" operator="equal" showDropDown="false" showErrorMessage="true" showInputMessage="true" sqref="M48:T48" type="list">
      <formula1>"VRAI,FAUX"</formula1>
      <formula2>0</formula2>
    </dataValidation>
    <dataValidation allowBlank="true" errorStyle="stop" operator="equal" showDropDown="false" showErrorMessage="true" showInputMessage="true" sqref="M102" type="list">
      <formula1>ass_Market!$N$9:$T$9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7"/>
  <sheetViews>
    <sheetView showFormulas="false" showGridLines="true" showRowColHeaders="true" showZeros="true" rightToLeft="false" tabSelected="true" showOutlineSymbols="true" defaultGridColor="true" view="normal" topLeftCell="A421" colorId="64" zoomScale="100" zoomScaleNormal="100" zoomScalePageLayoutView="100" workbookViewId="0">
      <selection pane="topLeft" activeCell="O437" activeCellId="0" sqref="O437"/>
    </sheetView>
  </sheetViews>
  <sheetFormatPr defaultColWidth="11.53515625" defaultRowHeight="13.8" customHeight="true" zeroHeight="false" outlineLevelRow="0" outlineLevelCol="0"/>
  <cols>
    <col collapsed="false" customWidth="true" hidden="false" outlineLevel="0" max="1" min="1" style="5" width="21.28"/>
    <col collapsed="false" customWidth="true" hidden="false" outlineLevel="0" max="2" min="2" style="5" width="4.43"/>
    <col collapsed="false" customWidth="true" hidden="false" outlineLevel="0" max="3" min="3" style="5" width="38.43"/>
    <col collapsed="false" customWidth="true" hidden="false" outlineLevel="0" max="5" min="4" style="5" width="4.43"/>
    <col collapsed="false" customWidth="true" hidden="false" outlineLevel="0" max="6" min="6" style="5" width="8.43"/>
    <col collapsed="false" customWidth="true" hidden="false" outlineLevel="0" max="7" min="7" style="5" width="13.43"/>
    <col collapsed="false" customWidth="true" hidden="false" outlineLevel="0" max="8" min="8" style="5" width="8.43"/>
    <col collapsed="false" customWidth="true" hidden="false" outlineLevel="0" max="9" min="9" style="5" width="13.43"/>
    <col collapsed="false" customWidth="true" hidden="false" outlineLevel="0" max="10" min="10" style="5" width="3.57"/>
    <col collapsed="false" customWidth="true" hidden="false" outlineLevel="0" max="11" min="11" style="5" width="13.43"/>
    <col collapsed="false" customWidth="true" hidden="false" outlineLevel="0" max="12" min="12" style="5" width="2.43"/>
    <col collapsed="false" customWidth="true" hidden="false" outlineLevel="0" max="18" min="13" style="0" width="11.43"/>
  </cols>
  <sheetData>
    <row r="1" customFormat="false" ht="13.8" hidden="false" customHeight="false" outlineLevel="0" collapsed="false">
      <c r="A1" s="95"/>
      <c r="B1" s="95"/>
      <c r="C1" s="95"/>
      <c r="D1" s="95"/>
      <c r="E1" s="95"/>
      <c r="F1" s="95"/>
      <c r="K1" s="95"/>
      <c r="L1" s="95"/>
      <c r="M1" s="95"/>
      <c r="N1" s="95"/>
      <c r="O1" s="95"/>
      <c r="P1" s="95"/>
      <c r="Q1" s="95"/>
      <c r="R1" s="95"/>
    </row>
    <row r="2" customFormat="false" ht="13.8" hidden="false" customHeight="false" outlineLevel="0" collapsed="false">
      <c r="A2" s="40" t="s">
        <v>218</v>
      </c>
      <c r="B2" s="2"/>
      <c r="C2" s="96" t="s">
        <v>219</v>
      </c>
      <c r="D2" s="2"/>
      <c r="E2" s="2"/>
      <c r="F2" s="2"/>
      <c r="G2" s="2"/>
      <c r="H2" s="2"/>
      <c r="I2" s="2"/>
      <c r="J2" s="2"/>
      <c r="K2" s="97" t="s">
        <v>220</v>
      </c>
      <c r="L2" s="98"/>
      <c r="M2" s="99" t="s">
        <v>221</v>
      </c>
      <c r="N2" s="99" t="s">
        <v>222</v>
      </c>
      <c r="O2" s="99" t="s">
        <v>223</v>
      </c>
      <c r="P2" s="99" t="s">
        <v>224</v>
      </c>
      <c r="Q2" s="99" t="s">
        <v>225</v>
      </c>
      <c r="R2" s="99" t="s">
        <v>226</v>
      </c>
    </row>
    <row r="3" customFormat="false" ht="14.9" hidden="false" customHeight="false" outlineLevel="0" collapsed="false">
      <c r="A3" s="1"/>
      <c r="B3" s="2"/>
      <c r="C3" s="96" t="s">
        <v>227</v>
      </c>
      <c r="D3" s="2"/>
      <c r="E3" s="2"/>
      <c r="F3" s="2"/>
      <c r="G3" s="2"/>
      <c r="H3" s="2"/>
      <c r="I3" s="2"/>
      <c r="J3" s="2"/>
      <c r="K3" s="97" t="s">
        <v>164</v>
      </c>
      <c r="L3" s="98"/>
      <c r="M3" s="10" t="e">
        <f aca="false">AND(M4=TRUE(),M47=TRUE())</f>
        <v>#REF!</v>
      </c>
      <c r="N3" s="10" t="e">
        <f aca="false">AND(N4=TRUE(),N47=TRUE())</f>
        <v>#REF!</v>
      </c>
      <c r="O3" s="10" t="b">
        <f aca="false">AND(O4=TRUE(),O47=TRUE())</f>
        <v>0</v>
      </c>
      <c r="P3" s="10" t="e">
        <f aca="false">AND(P4=TRUE(),P47=TRUE())</f>
        <v>#REF!</v>
      </c>
      <c r="Q3" s="10" t="e">
        <f aca="false">AND(Q4=TRUE(),Q47=TRUE())</f>
        <v>#REF!</v>
      </c>
      <c r="R3" s="10" t="e">
        <f aca="false">AND(R4=TRUE(),R47=TRUE())</f>
        <v>#REF!</v>
      </c>
    </row>
    <row r="4" customFormat="false" ht="13.8" hidden="false" customHeight="false" outlineLevel="0" collapsed="false">
      <c r="A4" s="40" t="s">
        <v>228</v>
      </c>
      <c r="B4" s="2"/>
      <c r="C4" s="96" t="s">
        <v>229</v>
      </c>
      <c r="D4" s="2"/>
      <c r="E4" s="2"/>
      <c r="F4" s="2"/>
      <c r="G4" s="2"/>
      <c r="H4" s="2"/>
      <c r="I4" s="2"/>
      <c r="J4" s="2"/>
      <c r="K4" s="97" t="s">
        <v>164</v>
      </c>
      <c r="L4" s="98"/>
      <c r="M4" s="100" t="s">
        <v>230</v>
      </c>
      <c r="N4" s="100" t="s">
        <v>230</v>
      </c>
      <c r="O4" s="100" t="s">
        <v>230</v>
      </c>
      <c r="P4" s="100" t="s">
        <v>230</v>
      </c>
      <c r="Q4" s="100" t="s">
        <v>230</v>
      </c>
      <c r="R4" s="100" t="s">
        <v>230</v>
      </c>
    </row>
    <row r="5" customFormat="false" ht="13.8" hidden="false" customHeight="false" outlineLevel="0" collapsed="false">
      <c r="A5" s="1"/>
      <c r="B5" s="2"/>
      <c r="C5" s="96" t="s">
        <v>231</v>
      </c>
      <c r="D5" s="2"/>
      <c r="E5" s="2"/>
      <c r="F5" s="2"/>
      <c r="G5" s="2"/>
      <c r="H5" s="2"/>
      <c r="I5" s="2"/>
      <c r="J5" s="2"/>
      <c r="K5" s="97" t="s">
        <v>232</v>
      </c>
      <c r="L5" s="98"/>
      <c r="M5" s="101" t="n">
        <f aca="false">L5+1</f>
        <v>1</v>
      </c>
      <c r="N5" s="101" t="n">
        <f aca="false">M5+1</f>
        <v>2</v>
      </c>
      <c r="O5" s="101" t="n">
        <f aca="false">N5+1</f>
        <v>3</v>
      </c>
      <c r="P5" s="101" t="n">
        <f aca="false">O5+1</f>
        <v>4</v>
      </c>
      <c r="Q5" s="101" t="n">
        <f aca="false">P5+1</f>
        <v>5</v>
      </c>
      <c r="R5" s="101" t="n">
        <f aca="false">Q5+1</f>
        <v>6</v>
      </c>
    </row>
    <row r="6" customFormat="false" ht="13.8" hidden="false" customHeight="false" outlineLevel="0" collapsed="false">
      <c r="A6" s="40" t="s">
        <v>233</v>
      </c>
      <c r="B6" s="2"/>
      <c r="C6" s="96" t="s">
        <v>234</v>
      </c>
      <c r="D6" s="2"/>
      <c r="E6" s="2"/>
      <c r="F6" s="2"/>
      <c r="G6" s="2"/>
      <c r="H6" s="2"/>
      <c r="I6" s="2"/>
      <c r="J6" s="2"/>
      <c r="K6" s="97" t="s">
        <v>80</v>
      </c>
      <c r="L6" s="98"/>
      <c r="M6" s="100" t="s">
        <v>235</v>
      </c>
      <c r="N6" s="100" t="s">
        <v>235</v>
      </c>
      <c r="O6" s="100" t="s">
        <v>235</v>
      </c>
      <c r="P6" s="100" t="s">
        <v>236</v>
      </c>
      <c r="Q6" s="100" t="s">
        <v>236</v>
      </c>
      <c r="R6" s="100" t="s">
        <v>236</v>
      </c>
    </row>
    <row r="7" customFormat="false" ht="13.8" hidden="false" customHeight="false" outlineLevel="0" collapsed="false">
      <c r="A7" s="1"/>
      <c r="B7" s="1"/>
      <c r="C7" s="1"/>
      <c r="D7" s="1"/>
      <c r="E7" s="1"/>
      <c r="F7" s="1"/>
      <c r="G7" s="1"/>
      <c r="H7" s="1"/>
      <c r="I7" s="1"/>
      <c r="J7" s="1"/>
      <c r="K7" s="1"/>
      <c r="L7" s="1"/>
    </row>
    <row r="8" customFormat="false" ht="13.8" hidden="false" customHeight="false" outlineLevel="0" collapsed="false">
      <c r="A8" s="1"/>
      <c r="B8" s="11" t="n">
        <v>1</v>
      </c>
      <c r="C8" s="11" t="s">
        <v>237</v>
      </c>
      <c r="D8" s="11"/>
      <c r="E8" s="11"/>
      <c r="F8" s="11"/>
      <c r="G8" s="11"/>
      <c r="H8" s="11"/>
      <c r="I8" s="11"/>
      <c r="J8" s="11"/>
      <c r="K8" s="11"/>
      <c r="L8" s="11"/>
      <c r="M8" s="11"/>
      <c r="N8" s="11"/>
      <c r="O8" s="11"/>
      <c r="P8" s="11"/>
      <c r="Q8" s="11"/>
      <c r="R8" s="11"/>
    </row>
    <row r="9" customFormat="false" ht="13.8" hidden="false" customHeight="false" outlineLevel="0" collapsed="false">
      <c r="A9" s="1"/>
      <c r="B9" s="1"/>
      <c r="C9" s="1"/>
      <c r="D9" s="1"/>
      <c r="E9" s="1"/>
      <c r="F9" s="1"/>
      <c r="G9" s="1"/>
      <c r="H9" s="1"/>
      <c r="I9" s="1"/>
      <c r="K9" s="1"/>
      <c r="L9" s="12"/>
    </row>
    <row r="10" customFormat="false" ht="13.8" hidden="false" customHeight="false" outlineLevel="0" collapsed="false">
      <c r="A10" s="1"/>
      <c r="B10" s="1"/>
      <c r="C10" s="14" t="s">
        <v>219</v>
      </c>
      <c r="D10" s="1"/>
      <c r="E10" s="1"/>
      <c r="F10" s="1"/>
      <c r="G10" s="1"/>
      <c r="H10" s="1"/>
      <c r="I10" s="1"/>
      <c r="K10" s="1"/>
      <c r="L10" s="12"/>
    </row>
    <row r="11" customFormat="false" ht="13.8" hidden="false" customHeight="false" outlineLevel="0" collapsed="false">
      <c r="A11" s="1"/>
      <c r="B11" s="1"/>
      <c r="C11" s="86" t="e">
        <f aca="false" t="array" ref="C11:C15">TRANSPOSE(Name_Vehicle_Row)</f>
        <v>#REF!</v>
      </c>
      <c r="D11" s="1"/>
      <c r="E11" s="1"/>
      <c r="F11" s="1"/>
      <c r="G11" s="1"/>
      <c r="H11" s="1"/>
      <c r="I11" s="1"/>
      <c r="K11" s="1"/>
      <c r="L11" s="12"/>
      <c r="M11" s="1"/>
      <c r="N11" s="1"/>
      <c r="O11" s="1"/>
      <c r="P11" s="1"/>
      <c r="Q11" s="1"/>
      <c r="R11" s="1"/>
      <c r="S11" s="0" t="s">
        <v>238</v>
      </c>
    </row>
    <row r="12" customFormat="false" ht="13.8" hidden="false" customHeight="false" outlineLevel="0" collapsed="false">
      <c r="A12" s="1"/>
      <c r="B12" s="1"/>
      <c r="C12" s="86" t="e">
        <v>#REF!</v>
      </c>
      <c r="D12" s="1"/>
      <c r="E12" s="1"/>
      <c r="F12" s="1"/>
      <c r="G12" s="1"/>
      <c r="H12" s="1"/>
      <c r="I12" s="1"/>
      <c r="K12" s="1"/>
      <c r="L12" s="12"/>
      <c r="M12" s="1"/>
      <c r="N12" s="1"/>
      <c r="O12" s="1"/>
      <c r="P12" s="1"/>
      <c r="Q12" s="1"/>
      <c r="R12" s="1"/>
    </row>
    <row r="13" customFormat="false" ht="13.8" hidden="false" customHeight="false" outlineLevel="0" collapsed="false">
      <c r="A13" s="1"/>
      <c r="B13" s="1"/>
      <c r="C13" s="86" t="e">
        <v>#REF!</v>
      </c>
      <c r="D13" s="1"/>
      <c r="E13" s="1"/>
      <c r="F13" s="1"/>
      <c r="G13" s="1"/>
      <c r="H13" s="1"/>
      <c r="I13" s="1"/>
      <c r="K13" s="1"/>
      <c r="L13" s="12"/>
      <c r="M13" s="1"/>
      <c r="N13" s="1"/>
      <c r="O13" s="1"/>
      <c r="P13" s="1"/>
      <c r="Q13" s="1"/>
      <c r="R13" s="1"/>
    </row>
    <row r="14" customFormat="false" ht="13.8" hidden="false" customHeight="false" outlineLevel="0" collapsed="false">
      <c r="A14" s="1"/>
      <c r="B14" s="1"/>
      <c r="C14" s="86" t="e">
        <v>#REF!</v>
      </c>
      <c r="D14" s="1"/>
      <c r="E14" s="1"/>
      <c r="F14" s="1"/>
      <c r="G14" s="1"/>
      <c r="H14" s="1"/>
      <c r="I14" s="1"/>
      <c r="K14" s="1"/>
      <c r="L14" s="12"/>
      <c r="M14" s="1"/>
      <c r="N14" s="1"/>
      <c r="O14" s="1"/>
      <c r="P14" s="1"/>
      <c r="Q14" s="1"/>
      <c r="R14" s="1"/>
    </row>
    <row r="15" customFormat="false" ht="13.8" hidden="false" customHeight="false" outlineLevel="0" collapsed="false">
      <c r="A15" s="1"/>
      <c r="B15" s="1"/>
      <c r="C15" s="86" t="e">
        <v>#REF!</v>
      </c>
      <c r="D15" s="1"/>
      <c r="E15" s="1"/>
      <c r="F15" s="1"/>
      <c r="G15" s="1"/>
      <c r="H15" s="1"/>
      <c r="I15" s="1"/>
      <c r="K15" s="1"/>
      <c r="L15" s="12"/>
      <c r="M15" s="1"/>
      <c r="N15" s="1"/>
      <c r="O15" s="1"/>
      <c r="P15" s="1"/>
      <c r="Q15" s="1"/>
      <c r="R15" s="1"/>
    </row>
    <row r="16" customFormat="false" ht="13.8" hidden="false" customHeight="false" outlineLevel="0" collapsed="false">
      <c r="A16" s="1"/>
      <c r="B16" s="1"/>
      <c r="C16" s="86" t="s">
        <v>226</v>
      </c>
      <c r="D16" s="1"/>
      <c r="E16" s="1"/>
      <c r="F16" s="1"/>
      <c r="G16" s="1"/>
      <c r="H16" s="1"/>
      <c r="I16" s="1"/>
      <c r="K16" s="1"/>
      <c r="L16" s="12"/>
      <c r="M16" s="1"/>
      <c r="N16" s="1"/>
      <c r="O16" s="1"/>
      <c r="P16" s="1"/>
      <c r="Q16" s="1"/>
      <c r="R16" s="1"/>
    </row>
    <row r="17" customFormat="false" ht="13.8" hidden="false" customHeight="false" outlineLevel="0" collapsed="false">
      <c r="A17" s="1"/>
      <c r="B17" s="1"/>
      <c r="C17" s="86" t="e">
        <f aca="false">#N/A</f>
        <v>#N/A</v>
      </c>
      <c r="D17" s="1"/>
      <c r="E17" s="1"/>
      <c r="F17" s="1"/>
      <c r="G17" s="1"/>
      <c r="H17" s="1"/>
      <c r="I17" s="1"/>
      <c r="K17" s="1"/>
      <c r="L17" s="12"/>
      <c r="M17" s="1"/>
      <c r="N17" s="1"/>
      <c r="O17" s="1"/>
      <c r="P17" s="1"/>
      <c r="Q17" s="1"/>
      <c r="R17" s="1"/>
    </row>
    <row r="18" customFormat="false" ht="13.8" hidden="false" customHeight="false" outlineLevel="0" collapsed="false">
      <c r="A18" s="1"/>
      <c r="B18" s="1"/>
      <c r="C18" s="86" t="e">
        <f aca="false">#N/A</f>
        <v>#N/A</v>
      </c>
      <c r="D18" s="1"/>
      <c r="E18" s="1"/>
      <c r="F18" s="1"/>
      <c r="G18" s="1"/>
      <c r="H18" s="1"/>
      <c r="I18" s="1"/>
      <c r="K18" s="1"/>
      <c r="L18" s="12"/>
      <c r="M18" s="1"/>
      <c r="N18" s="1"/>
      <c r="O18" s="1"/>
      <c r="P18" s="1"/>
      <c r="Q18" s="1"/>
      <c r="R18" s="1"/>
    </row>
    <row r="19" customFormat="false" ht="13.8" hidden="false" customHeight="false" outlineLevel="0" collapsed="false">
      <c r="A19" s="1"/>
      <c r="B19" s="1"/>
      <c r="C19" s="86" t="e">
        <f aca="false">#N/A</f>
        <v>#N/A</v>
      </c>
      <c r="D19" s="1"/>
      <c r="E19" s="1"/>
      <c r="F19" s="1"/>
      <c r="G19" s="1"/>
      <c r="H19" s="1"/>
      <c r="I19" s="1"/>
      <c r="K19" s="1"/>
      <c r="L19" s="12"/>
      <c r="M19" s="1"/>
      <c r="N19" s="1"/>
      <c r="O19" s="1"/>
      <c r="P19" s="1"/>
      <c r="Q19" s="1"/>
      <c r="R19" s="1"/>
    </row>
    <row r="20" customFormat="false" ht="13.8" hidden="false" customHeight="false" outlineLevel="0" collapsed="false">
      <c r="A20" s="1"/>
      <c r="B20" s="1"/>
      <c r="C20" s="86" t="e">
        <f aca="false">#N/A</f>
        <v>#N/A</v>
      </c>
      <c r="D20" s="1"/>
      <c r="E20" s="1"/>
      <c r="F20" s="1"/>
      <c r="G20" s="1"/>
      <c r="H20" s="1"/>
      <c r="I20" s="1"/>
      <c r="K20" s="1"/>
      <c r="L20" s="12"/>
      <c r="M20" s="1"/>
      <c r="N20" s="1"/>
      <c r="O20" s="1"/>
      <c r="P20" s="1"/>
      <c r="Q20" s="1"/>
      <c r="R20" s="1"/>
    </row>
    <row r="21" customFormat="false" ht="13.8" hidden="false" customHeight="false" outlineLevel="0" collapsed="false">
      <c r="A21" s="1"/>
      <c r="B21" s="1"/>
      <c r="C21" s="86" t="e">
        <f aca="false">#N/A</f>
        <v>#N/A</v>
      </c>
      <c r="D21" s="1"/>
      <c r="E21" s="1"/>
      <c r="F21" s="1"/>
      <c r="G21" s="1"/>
      <c r="H21" s="1"/>
      <c r="I21" s="1"/>
      <c r="K21" s="1"/>
      <c r="L21" s="12"/>
      <c r="M21" s="1"/>
      <c r="N21" s="1"/>
      <c r="O21" s="1"/>
      <c r="P21" s="1"/>
      <c r="Q21" s="1"/>
      <c r="R21" s="1"/>
    </row>
    <row r="22" customFormat="false" ht="13.8" hidden="false" customHeight="false" outlineLevel="0" collapsed="false">
      <c r="A22" s="1"/>
      <c r="B22" s="1"/>
      <c r="C22" s="86" t="e">
        <f aca="false">#N/A</f>
        <v>#N/A</v>
      </c>
      <c r="D22" s="1"/>
      <c r="E22" s="1"/>
      <c r="F22" s="1"/>
      <c r="G22" s="1"/>
      <c r="H22" s="1"/>
      <c r="I22" s="1"/>
      <c r="K22" s="1"/>
      <c r="L22" s="12"/>
      <c r="M22" s="1"/>
      <c r="N22" s="1"/>
      <c r="O22" s="1"/>
      <c r="P22" s="1"/>
      <c r="Q22" s="1"/>
      <c r="R22" s="1"/>
    </row>
    <row r="23" customFormat="false" ht="13.8" hidden="false" customHeight="false" outlineLevel="0" collapsed="false">
      <c r="A23" s="1"/>
      <c r="B23" s="1"/>
      <c r="C23" s="86" t="e">
        <f aca="false">#N/A</f>
        <v>#N/A</v>
      </c>
      <c r="D23" s="1"/>
      <c r="E23" s="1"/>
      <c r="F23" s="1"/>
      <c r="G23" s="1"/>
      <c r="H23" s="1"/>
      <c r="I23" s="1"/>
      <c r="K23" s="1"/>
      <c r="L23" s="12"/>
      <c r="M23" s="1"/>
      <c r="N23" s="1"/>
      <c r="O23" s="1"/>
      <c r="P23" s="1"/>
      <c r="Q23" s="1"/>
      <c r="R23" s="1"/>
    </row>
    <row r="24" customFormat="false" ht="13.8" hidden="false" customHeight="false" outlineLevel="0" collapsed="false">
      <c r="A24" s="1"/>
      <c r="B24" s="1"/>
      <c r="C24" s="86" t="e">
        <f aca="false">#N/A</f>
        <v>#N/A</v>
      </c>
      <c r="D24" s="1"/>
      <c r="E24" s="1"/>
      <c r="F24" s="1"/>
      <c r="G24" s="1"/>
      <c r="H24" s="1"/>
      <c r="I24" s="1"/>
      <c r="K24" s="1"/>
      <c r="L24" s="12"/>
      <c r="M24" s="1"/>
      <c r="N24" s="1"/>
      <c r="O24" s="1"/>
      <c r="P24" s="1"/>
      <c r="Q24" s="1"/>
      <c r="R24" s="1"/>
    </row>
    <row r="25" customFormat="false" ht="13.8" hidden="false" customHeight="false" outlineLevel="0" collapsed="false">
      <c r="A25" s="1"/>
      <c r="B25" s="1"/>
      <c r="C25" s="86" t="e">
        <f aca="false">#N/A</f>
        <v>#N/A</v>
      </c>
      <c r="D25" s="1"/>
      <c r="E25" s="1"/>
      <c r="F25" s="1"/>
      <c r="G25" s="1"/>
      <c r="H25" s="1"/>
      <c r="I25" s="1"/>
      <c r="K25" s="1"/>
      <c r="L25" s="12"/>
      <c r="M25" s="1"/>
      <c r="N25" s="1"/>
      <c r="O25" s="1"/>
      <c r="P25" s="1"/>
      <c r="Q25" s="1"/>
      <c r="R25" s="1"/>
    </row>
    <row r="26" customFormat="false" ht="13.8" hidden="false" customHeight="false" outlineLevel="0" collapsed="false">
      <c r="A26" s="1"/>
      <c r="B26" s="1"/>
      <c r="C26" s="86" t="e">
        <f aca="false">#N/A</f>
        <v>#N/A</v>
      </c>
      <c r="D26" s="1"/>
      <c r="E26" s="1"/>
      <c r="F26" s="1"/>
      <c r="G26" s="1"/>
      <c r="H26" s="1"/>
      <c r="I26" s="1"/>
      <c r="K26" s="1"/>
      <c r="L26" s="12"/>
      <c r="M26" s="1"/>
      <c r="N26" s="1"/>
      <c r="O26" s="1"/>
      <c r="P26" s="1"/>
      <c r="Q26" s="1"/>
      <c r="R26" s="1"/>
    </row>
    <row r="27" customFormat="false" ht="13.8" hidden="false" customHeight="false" outlineLevel="0" collapsed="false">
      <c r="A27" s="1"/>
      <c r="B27" s="1"/>
      <c r="C27" s="86" t="e">
        <f aca="false">#N/A</f>
        <v>#N/A</v>
      </c>
      <c r="D27" s="1"/>
      <c r="E27" s="1"/>
      <c r="F27" s="1"/>
      <c r="G27" s="1"/>
      <c r="H27" s="1"/>
      <c r="I27" s="1"/>
      <c r="K27" s="1"/>
      <c r="L27" s="12"/>
      <c r="M27" s="1"/>
      <c r="N27" s="1"/>
      <c r="O27" s="1"/>
      <c r="P27" s="1"/>
      <c r="Q27" s="1"/>
      <c r="R27" s="1"/>
    </row>
    <row r="28" customFormat="false" ht="13.8" hidden="false" customHeight="false" outlineLevel="0" collapsed="false">
      <c r="A28" s="1"/>
      <c r="B28" s="1"/>
      <c r="C28" s="86" t="e">
        <f aca="false">#N/A</f>
        <v>#N/A</v>
      </c>
      <c r="D28" s="1"/>
      <c r="E28" s="1"/>
      <c r="F28" s="1"/>
      <c r="G28" s="1"/>
      <c r="H28" s="1"/>
      <c r="I28" s="1"/>
      <c r="K28" s="1"/>
      <c r="L28" s="12"/>
      <c r="M28" s="1"/>
      <c r="N28" s="1"/>
      <c r="O28" s="1"/>
      <c r="P28" s="1"/>
      <c r="Q28" s="1"/>
      <c r="R28" s="1"/>
    </row>
    <row r="29" customFormat="false" ht="13.8" hidden="false" customHeight="false" outlineLevel="0" collapsed="false">
      <c r="A29" s="1"/>
      <c r="B29" s="1"/>
      <c r="C29" s="86" t="e">
        <f aca="false">#N/A</f>
        <v>#N/A</v>
      </c>
      <c r="D29" s="1"/>
      <c r="E29" s="1"/>
      <c r="F29" s="1"/>
      <c r="G29" s="1"/>
      <c r="H29" s="1"/>
      <c r="I29" s="1"/>
      <c r="K29" s="1"/>
      <c r="L29" s="12"/>
      <c r="M29" s="1"/>
      <c r="N29" s="1"/>
      <c r="O29" s="1"/>
      <c r="P29" s="1"/>
      <c r="Q29" s="1"/>
      <c r="R29" s="1"/>
    </row>
    <row r="30" customFormat="false" ht="13.8" hidden="false" customHeight="false" outlineLevel="0" collapsed="false">
      <c r="A30" s="1"/>
      <c r="B30" s="1"/>
      <c r="C30" s="86" t="e">
        <f aca="false">#N/A</f>
        <v>#N/A</v>
      </c>
      <c r="D30" s="1"/>
      <c r="E30" s="1"/>
      <c r="F30" s="1"/>
      <c r="G30" s="1"/>
      <c r="H30" s="1"/>
      <c r="I30" s="1"/>
      <c r="K30" s="1"/>
      <c r="L30" s="12"/>
      <c r="M30" s="1"/>
      <c r="N30" s="1"/>
      <c r="O30" s="1"/>
      <c r="P30" s="1"/>
      <c r="Q30" s="1"/>
      <c r="R30" s="1"/>
    </row>
    <row r="31" customFormat="false" ht="13.8" hidden="false" customHeight="false" outlineLevel="0" collapsed="false">
      <c r="A31" s="1"/>
      <c r="B31" s="1"/>
      <c r="C31" s="86" t="e">
        <f aca="false">#N/A</f>
        <v>#N/A</v>
      </c>
      <c r="D31" s="1"/>
      <c r="E31" s="1"/>
      <c r="F31" s="1"/>
      <c r="G31" s="1"/>
      <c r="H31" s="1"/>
      <c r="I31" s="1"/>
      <c r="K31" s="1"/>
      <c r="L31" s="12"/>
      <c r="M31" s="1"/>
      <c r="N31" s="1"/>
      <c r="O31" s="1"/>
      <c r="P31" s="1"/>
      <c r="Q31" s="1"/>
      <c r="R31" s="1"/>
    </row>
    <row r="32" customFormat="false" ht="13.8" hidden="false" customHeight="false" outlineLevel="0" collapsed="false">
      <c r="A32" s="1"/>
      <c r="B32" s="1"/>
      <c r="C32" s="86" t="e">
        <f aca="false">#N/A</f>
        <v>#N/A</v>
      </c>
      <c r="D32" s="1"/>
      <c r="E32" s="1"/>
      <c r="F32" s="1"/>
      <c r="G32" s="1"/>
      <c r="H32" s="1"/>
      <c r="I32" s="1"/>
      <c r="K32" s="1"/>
      <c r="L32" s="12"/>
      <c r="M32" s="1"/>
      <c r="N32" s="1"/>
      <c r="O32" s="1"/>
      <c r="P32" s="1"/>
      <c r="Q32" s="1"/>
      <c r="R32" s="1"/>
    </row>
    <row r="33" customFormat="false" ht="13.8" hidden="false" customHeight="false" outlineLevel="0" collapsed="false">
      <c r="A33" s="1"/>
      <c r="B33" s="1"/>
      <c r="C33" s="86" t="e">
        <f aca="false">#N/A</f>
        <v>#N/A</v>
      </c>
      <c r="D33" s="1"/>
      <c r="E33" s="1"/>
      <c r="F33" s="1"/>
      <c r="G33" s="1"/>
      <c r="H33" s="1"/>
      <c r="I33" s="1"/>
      <c r="K33" s="1"/>
      <c r="L33" s="12"/>
      <c r="M33" s="1"/>
      <c r="N33" s="1"/>
      <c r="O33" s="1"/>
      <c r="P33" s="1"/>
      <c r="Q33" s="1"/>
      <c r="R33" s="1"/>
    </row>
    <row r="34" customFormat="false" ht="13.8" hidden="false" customHeight="false" outlineLevel="0" collapsed="false">
      <c r="A34" s="1"/>
      <c r="B34" s="1"/>
      <c r="C34" s="86" t="e">
        <f aca="false">#N/A</f>
        <v>#N/A</v>
      </c>
      <c r="D34" s="1"/>
      <c r="E34" s="1"/>
      <c r="F34" s="1"/>
      <c r="G34" s="1"/>
      <c r="H34" s="1"/>
      <c r="I34" s="1"/>
      <c r="K34" s="1"/>
      <c r="L34" s="12"/>
      <c r="M34" s="1"/>
      <c r="N34" s="1"/>
      <c r="O34" s="1"/>
      <c r="P34" s="1"/>
      <c r="Q34" s="1"/>
      <c r="R34" s="1"/>
    </row>
    <row r="35" customFormat="false" ht="13.8" hidden="false" customHeight="false" outlineLevel="0" collapsed="false">
      <c r="A35" s="1"/>
      <c r="B35" s="1"/>
      <c r="C35" s="86" t="e">
        <f aca="false">#N/A</f>
        <v>#N/A</v>
      </c>
      <c r="D35" s="1"/>
      <c r="E35" s="1"/>
      <c r="F35" s="1"/>
      <c r="G35" s="1"/>
      <c r="H35" s="1"/>
      <c r="I35" s="1"/>
      <c r="K35" s="1"/>
      <c r="L35" s="12"/>
      <c r="M35" s="1"/>
      <c r="N35" s="1"/>
      <c r="O35" s="1"/>
      <c r="P35" s="1"/>
      <c r="Q35" s="1"/>
      <c r="R35" s="1"/>
    </row>
    <row r="36" customFormat="false" ht="13.8" hidden="false" customHeight="false" outlineLevel="0" collapsed="false">
      <c r="A36" s="1"/>
      <c r="B36" s="1"/>
      <c r="C36" s="86" t="e">
        <f aca="false">#N/A</f>
        <v>#N/A</v>
      </c>
      <c r="D36" s="1"/>
      <c r="E36" s="1"/>
      <c r="F36" s="1"/>
      <c r="G36" s="1"/>
      <c r="H36" s="1"/>
      <c r="I36" s="1"/>
      <c r="K36" s="1"/>
      <c r="L36" s="12"/>
      <c r="M36" s="1"/>
      <c r="N36" s="1"/>
      <c r="O36" s="1"/>
      <c r="P36" s="1"/>
      <c r="Q36" s="1"/>
      <c r="R36" s="1"/>
    </row>
    <row r="37" customFormat="false" ht="13.8" hidden="false" customHeight="false" outlineLevel="0" collapsed="false">
      <c r="A37" s="1"/>
      <c r="B37" s="1"/>
      <c r="C37" s="86" t="e">
        <f aca="false">#N/A</f>
        <v>#N/A</v>
      </c>
      <c r="D37" s="1"/>
      <c r="E37" s="1"/>
      <c r="F37" s="1"/>
      <c r="G37" s="1"/>
      <c r="H37" s="1"/>
      <c r="I37" s="1"/>
      <c r="K37" s="1"/>
      <c r="L37" s="12"/>
      <c r="M37" s="1"/>
      <c r="N37" s="1"/>
      <c r="O37" s="1"/>
      <c r="P37" s="1"/>
      <c r="Q37" s="1"/>
      <c r="R37" s="1"/>
    </row>
    <row r="38" customFormat="false" ht="13.8" hidden="false" customHeight="false" outlineLevel="0" collapsed="false">
      <c r="A38" s="1"/>
      <c r="B38" s="1"/>
      <c r="C38" s="86" t="e">
        <f aca="false">#N/A</f>
        <v>#N/A</v>
      </c>
      <c r="D38" s="1"/>
      <c r="E38" s="1"/>
      <c r="F38" s="1"/>
      <c r="G38" s="1"/>
      <c r="H38" s="1"/>
      <c r="I38" s="1"/>
      <c r="K38" s="1"/>
      <c r="L38" s="12"/>
      <c r="M38" s="1"/>
      <c r="N38" s="1"/>
      <c r="O38" s="1"/>
      <c r="P38" s="1"/>
      <c r="Q38" s="1"/>
      <c r="R38" s="1"/>
    </row>
    <row r="39" customFormat="false" ht="13.8" hidden="false" customHeight="false" outlineLevel="0" collapsed="false">
      <c r="A39" s="1"/>
      <c r="B39" s="1"/>
      <c r="C39" s="86" t="e">
        <f aca="false">#N/A</f>
        <v>#N/A</v>
      </c>
      <c r="D39" s="1"/>
      <c r="E39" s="1"/>
      <c r="F39" s="1"/>
      <c r="G39" s="1"/>
      <c r="H39" s="1"/>
      <c r="I39" s="1"/>
      <c r="K39" s="1"/>
      <c r="L39" s="12"/>
      <c r="M39" s="1"/>
      <c r="N39" s="1"/>
      <c r="O39" s="1"/>
      <c r="P39" s="1"/>
      <c r="Q39" s="1"/>
      <c r="R39" s="1"/>
    </row>
    <row r="40" customFormat="false" ht="13.8" hidden="false" customHeight="false" outlineLevel="0" collapsed="false">
      <c r="A40" s="1"/>
      <c r="B40" s="1"/>
      <c r="C40" s="86" t="e">
        <f aca="false">#N/A</f>
        <v>#N/A</v>
      </c>
      <c r="D40" s="1"/>
      <c r="E40" s="1"/>
      <c r="F40" s="1"/>
      <c r="G40" s="1"/>
      <c r="H40" s="1"/>
      <c r="I40" s="1"/>
      <c r="K40" s="1"/>
      <c r="L40" s="12"/>
      <c r="M40" s="1"/>
      <c r="N40" s="1"/>
      <c r="O40" s="1"/>
      <c r="P40" s="1"/>
      <c r="Q40" s="1"/>
      <c r="R40" s="1"/>
    </row>
    <row r="41" customFormat="false" ht="13.8" hidden="false" customHeight="false" outlineLevel="0" collapsed="false">
      <c r="A41" s="40" t="s">
        <v>239</v>
      </c>
      <c r="B41" s="1"/>
      <c r="C41" s="1" t="s">
        <v>240</v>
      </c>
      <c r="D41" s="1"/>
      <c r="E41" s="1"/>
      <c r="F41" s="1"/>
      <c r="G41" s="1"/>
      <c r="H41" s="1"/>
      <c r="K41" s="15" t="s">
        <v>80</v>
      </c>
      <c r="L41" s="12"/>
      <c r="M41" s="99" t="s">
        <v>221</v>
      </c>
      <c r="N41" s="99" t="s">
        <v>221</v>
      </c>
      <c r="O41" s="99" t="s">
        <v>221</v>
      </c>
      <c r="P41" s="99" t="s">
        <v>222</v>
      </c>
      <c r="Q41" s="99" t="s">
        <v>223</v>
      </c>
      <c r="R41" s="99" t="s">
        <v>222</v>
      </c>
    </row>
    <row r="42" customFormat="false" ht="14.9" hidden="false" customHeight="false" outlineLevel="0" collapsed="false">
      <c r="A42" s="1"/>
      <c r="C42" s="5" t="s">
        <v>241</v>
      </c>
      <c r="K42" s="15" t="s">
        <v>109</v>
      </c>
      <c r="L42" s="90"/>
      <c r="M42" s="63" t="b">
        <f aca="false">TRUE()</f>
        <v>1</v>
      </c>
      <c r="N42" s="63" t="b">
        <f aca="false">TRUE()</f>
        <v>1</v>
      </c>
      <c r="O42" s="63"/>
      <c r="P42" s="63" t="b">
        <f aca="false">FALSE()</f>
        <v>0</v>
      </c>
      <c r="Q42" s="63" t="b">
        <f aca="false">FALSE()</f>
        <v>0</v>
      </c>
      <c r="R42" s="63" t="b">
        <f aca="false">FALSE()</f>
        <v>0</v>
      </c>
    </row>
    <row r="43" customFormat="false" ht="13.8" hidden="false" customHeight="false" outlineLevel="0" collapsed="false">
      <c r="A43" s="1"/>
      <c r="B43" s="1"/>
      <c r="C43" s="1" t="s">
        <v>242</v>
      </c>
      <c r="D43" s="1"/>
      <c r="E43" s="1"/>
      <c r="F43" s="1"/>
      <c r="G43" s="1"/>
      <c r="H43" s="1"/>
      <c r="K43" s="15" t="s">
        <v>243</v>
      </c>
      <c r="L43" s="12"/>
      <c r="M43" s="21" t="e">
        <f aca="false">IF(M3,MATCH(M41,$M$2:$R$2,0),0)</f>
        <v>#REF!</v>
      </c>
      <c r="N43" s="21" t="e">
        <f aca="false">IF(N3,MATCH(N41,$M$2:$R$2,0),0)</f>
        <v>#REF!</v>
      </c>
      <c r="O43" s="21"/>
      <c r="P43" s="21" t="e">
        <f aca="false">IF(P3,MATCH(P41,$M$2:$R$2,0),0)</f>
        <v>#REF!</v>
      </c>
      <c r="Q43" s="21" t="e">
        <f aca="false">IF(Q3,MATCH(Q41,$M$2:$R$2,0),0)</f>
        <v>#REF!</v>
      </c>
      <c r="R43" s="21" t="e">
        <f aca="false">IF(R3,MATCH(R41,$M$2:$R$2,0),0)</f>
        <v>#REF!</v>
      </c>
    </row>
    <row r="44" customFormat="false" ht="13.8" hidden="false" customHeight="false" outlineLevel="0" collapsed="false">
      <c r="A44" s="1"/>
      <c r="B44" s="1"/>
      <c r="C44" s="1" t="s">
        <v>244</v>
      </c>
      <c r="D44" s="1"/>
      <c r="E44" s="1"/>
      <c r="F44" s="1"/>
      <c r="G44" s="1"/>
      <c r="H44" s="1"/>
      <c r="I44" s="1"/>
      <c r="K44" s="15" t="s">
        <v>245</v>
      </c>
      <c r="L44" s="12"/>
      <c r="M44" s="21" t="e">
        <f aca="false">IF(M$51,M5,M43)</f>
        <v>#REF!</v>
      </c>
      <c r="N44" s="21" t="e">
        <f aca="false">IF(N$51,N5,N43)</f>
        <v>#REF!</v>
      </c>
      <c r="O44" s="21"/>
      <c r="P44" s="21" t="n">
        <f aca="false">IF(P$51,P5,P43)</f>
        <v>4</v>
      </c>
      <c r="Q44" s="21" t="n">
        <f aca="false">IF(Q$51,Q5,Q43)</f>
        <v>5</v>
      </c>
      <c r="R44" s="21" t="n">
        <f aca="false">IF(R$51,R5,R43)</f>
        <v>6</v>
      </c>
    </row>
    <row r="45" customFormat="false" ht="13.8" hidden="false" customHeight="false" outlineLevel="0" collapsed="false">
      <c r="A45" s="1"/>
      <c r="B45" s="1"/>
      <c r="C45" s="1" t="s">
        <v>246</v>
      </c>
      <c r="D45" s="1"/>
      <c r="E45" s="1"/>
      <c r="F45" s="1"/>
      <c r="G45" s="1"/>
      <c r="H45" s="1"/>
      <c r="I45" s="1"/>
      <c r="K45" s="15" t="s">
        <v>33</v>
      </c>
      <c r="L45" s="12"/>
      <c r="M45" s="63" t="n">
        <v>1</v>
      </c>
      <c r="N45" s="63" t="n">
        <v>1</v>
      </c>
      <c r="O45" s="63" t="n">
        <v>1</v>
      </c>
      <c r="P45" s="63" t="n">
        <v>1</v>
      </c>
      <c r="Q45" s="63" t="n">
        <v>1</v>
      </c>
      <c r="R45" s="63" t="n">
        <v>1</v>
      </c>
    </row>
    <row r="46" customFormat="false" ht="14.9" hidden="false" customHeight="false" outlineLevel="0" collapsed="false">
      <c r="A46" s="1"/>
      <c r="B46" s="1"/>
      <c r="C46" s="1" t="s">
        <v>247</v>
      </c>
      <c r="D46" s="1"/>
      <c r="E46" s="1"/>
      <c r="F46" s="1"/>
      <c r="H46" s="15" t="s">
        <v>248</v>
      </c>
      <c r="I46" s="9" t="n">
        <f aca="false">COUNTIF($M$46:$R$46,FALSE())=0</f>
        <v>1</v>
      </c>
      <c r="K46" s="15" t="s">
        <v>109</v>
      </c>
      <c r="L46" s="12"/>
      <c r="M46" s="10" t="e">
        <f aca="false">IF(OR(M6="",M3&lt;&gt;TRUE()),TRUE(),AND(M45&gt;0,M45&lt;=1))</f>
        <v>#REF!</v>
      </c>
      <c r="N46" s="10" t="e">
        <f aca="false">IF(OR(N6="",N3&lt;&gt;TRUE()),TRUE(),AND(N45&gt;0,N45&lt;=1))</f>
        <v>#REF!</v>
      </c>
      <c r="O46" s="10" t="n">
        <f aca="false">IF(OR(O6="",O3&lt;&gt;TRUE()),TRUE(),AND(O45&gt;0,O45&lt;=1))</f>
        <v>1</v>
      </c>
      <c r="P46" s="10" t="e">
        <f aca="false">IF(OR(P6="",P3&lt;&gt;TRUE()),TRUE(),AND(P45&gt;0,P45&lt;=1))</f>
        <v>#REF!</v>
      </c>
      <c r="Q46" s="10" t="e">
        <f aca="false">IF(OR(Q6="",Q3&lt;&gt;TRUE()),TRUE(),AND(Q45&gt;0,Q45&lt;=1))</f>
        <v>#REF!</v>
      </c>
      <c r="R46" s="10" t="e">
        <f aca="false">IF(OR(R6="",R3&lt;&gt;TRUE()),TRUE(),AND(R45&gt;0,R45&lt;=1))</f>
        <v>#REF!</v>
      </c>
    </row>
    <row r="47" customFormat="false" ht="14.9" hidden="false" customHeight="false" outlineLevel="0" collapsed="false">
      <c r="A47" s="1"/>
      <c r="B47" s="1"/>
      <c r="C47" s="1" t="s">
        <v>249</v>
      </c>
      <c r="D47" s="1"/>
      <c r="E47" s="1"/>
      <c r="F47" s="1"/>
      <c r="H47" s="15" t="s">
        <v>248</v>
      </c>
      <c r="I47" s="9" t="n">
        <f aca="false">COUNTIF($M$47:$R$47,FALSE())=0</f>
        <v>1</v>
      </c>
      <c r="K47" s="15" t="s">
        <v>109</v>
      </c>
      <c r="L47" s="12"/>
      <c r="M47" s="10" t="e">
        <f aca="true" t="array" ref="M47:M47">IF(M$4=FALSE(),TRUE(),IF(IFERROR(INDIRECT("'"&amp;M$2&amp;"'!A1"),FALSE())=0,TRUE()))</f>
        <v>#REF!</v>
      </c>
      <c r="N47" s="10" t="e">
        <f aca="true" t="array" ref="N47:N47">IF(N$4=FALSE(),TRUE(),IF(IFERROR(INDIRECT("'"&amp;N$2&amp;"'!A1"),FALSE())=0,TRUE()))</f>
        <v>#REF!</v>
      </c>
      <c r="O47" s="10" t="n">
        <f aca="false">IF(OR(O7="",O4&lt;&gt;TRUE()),TRUE(),AND(O46&gt;0,O46&lt;=1))</f>
        <v>1</v>
      </c>
      <c r="P47" s="10" t="e">
        <f aca="true" t="array" ref="P47:P47">IF(P$4=FALSE(),TRUE(),IF(IFERROR(INDIRECT("'"&amp;P$2&amp;"'!A1"),FALSE())=0,TRUE()))</f>
        <v>#REF!</v>
      </c>
      <c r="Q47" s="10" t="e">
        <f aca="true" t="array" ref="Q47:Q47">IF(Q$4=FALSE(),TRUE(),IF(IFERROR(INDIRECT("'"&amp;Q$2&amp;"'!A1"),FALSE())=0,TRUE()))</f>
        <v>#REF!</v>
      </c>
      <c r="R47" s="10" t="e">
        <f aca="true" t="array" ref="R47:R47">IF(R$4=FALSE(),TRUE(),IF(IFERROR(INDIRECT("'"&amp;R$2&amp;"'!A1"),FALSE())=0,TRUE()))</f>
        <v>#REF!</v>
      </c>
    </row>
    <row r="48" customFormat="false" ht="13.8" hidden="false" customHeight="false" outlineLevel="0" collapsed="false">
      <c r="A48" s="1"/>
      <c r="B48" s="1"/>
      <c r="C48" s="1"/>
      <c r="D48" s="1"/>
      <c r="E48" s="1"/>
      <c r="F48" s="1"/>
      <c r="G48" s="1"/>
      <c r="H48" s="1"/>
      <c r="I48" s="1"/>
      <c r="K48" s="1"/>
      <c r="L48" s="12"/>
      <c r="M48" s="1"/>
      <c r="N48" s="1"/>
      <c r="O48" s="1"/>
      <c r="P48" s="1"/>
      <c r="Q48" s="1"/>
      <c r="R48" s="1"/>
    </row>
    <row r="49" customFormat="false" ht="13.8" hidden="false" customHeight="false" outlineLevel="0" collapsed="false">
      <c r="A49" s="1"/>
      <c r="B49" s="11" t="n">
        <v>2</v>
      </c>
      <c r="C49" s="11" t="s">
        <v>250</v>
      </c>
      <c r="D49" s="11"/>
      <c r="E49" s="11"/>
      <c r="F49" s="11"/>
      <c r="G49" s="11"/>
      <c r="H49" s="11"/>
      <c r="I49" s="11"/>
      <c r="J49" s="11"/>
      <c r="K49" s="11"/>
      <c r="L49" s="11"/>
      <c r="M49" s="11"/>
      <c r="N49" s="11"/>
      <c r="O49" s="11"/>
      <c r="P49" s="11"/>
      <c r="Q49" s="11"/>
      <c r="R49" s="11"/>
    </row>
    <row r="50" customFormat="false" ht="13.8" hidden="false" customHeight="false" outlineLevel="0" collapsed="false">
      <c r="A50" s="1"/>
      <c r="B50" s="1"/>
      <c r="C50" s="1"/>
      <c r="D50" s="1"/>
      <c r="E50" s="1"/>
      <c r="F50" s="1"/>
      <c r="I50" s="1"/>
      <c r="J50" s="1"/>
      <c r="K50" s="1"/>
      <c r="L50" s="12"/>
      <c r="M50" s="1"/>
      <c r="N50" s="1"/>
      <c r="O50" s="1"/>
      <c r="P50" s="1"/>
      <c r="Q50" s="1"/>
      <c r="R50" s="1"/>
    </row>
    <row r="51" customFormat="false" ht="14.9" hidden="false" customHeight="false" outlineLevel="0" collapsed="false">
      <c r="A51" s="1"/>
      <c r="B51" s="1"/>
      <c r="C51" s="1" t="s">
        <v>251</v>
      </c>
      <c r="D51" s="1"/>
      <c r="E51" s="1"/>
      <c r="F51" s="1"/>
      <c r="I51" s="1"/>
      <c r="J51" s="1"/>
      <c r="K51" s="15" t="s">
        <v>109</v>
      </c>
      <c r="L51" s="12"/>
      <c r="M51" s="63"/>
      <c r="N51" s="63" t="b">
        <f aca="false">FALSE()</f>
        <v>0</v>
      </c>
      <c r="O51" s="63"/>
      <c r="P51" s="63" t="b">
        <f aca="false">TRUE()</f>
        <v>1</v>
      </c>
      <c r="Q51" s="63" t="b">
        <f aca="false">TRUE()</f>
        <v>1</v>
      </c>
      <c r="R51" s="63" t="b">
        <f aca="false">TRUE()</f>
        <v>1</v>
      </c>
    </row>
    <row r="52" customFormat="false" ht="13.8" hidden="false" customHeight="false" outlineLevel="0" collapsed="false">
      <c r="A52" s="1"/>
      <c r="L52" s="12"/>
    </row>
    <row r="53" customFormat="false" ht="13.8" hidden="false" customHeight="false" outlineLevel="0" collapsed="false">
      <c r="A53" s="1"/>
      <c r="B53" s="1"/>
      <c r="C53" s="6" t="s">
        <v>252</v>
      </c>
      <c r="D53" s="1"/>
      <c r="E53" s="1"/>
      <c r="F53" s="1"/>
      <c r="I53" s="1"/>
      <c r="J53" s="1"/>
      <c r="K53" s="1"/>
      <c r="L53" s="12"/>
      <c r="M53" s="1"/>
      <c r="N53" s="1"/>
      <c r="O53" s="1"/>
      <c r="P53" s="1"/>
      <c r="Q53" s="1"/>
      <c r="R53" s="1"/>
    </row>
    <row r="54" customFormat="false" ht="13.8" hidden="false" customHeight="false" outlineLevel="0" collapsed="false">
      <c r="A54" s="1"/>
      <c r="B54" s="1"/>
      <c r="C54" s="14" t="s">
        <v>253</v>
      </c>
      <c r="D54" s="1"/>
      <c r="E54" s="1"/>
      <c r="F54" s="1"/>
      <c r="I54" s="1"/>
      <c r="J54" s="1"/>
      <c r="K54" s="1"/>
      <c r="L54" s="12"/>
      <c r="M54" s="1"/>
      <c r="N54" s="1"/>
      <c r="O54" s="1"/>
      <c r="P54" s="1"/>
      <c r="Q54" s="1"/>
      <c r="R54" s="1"/>
    </row>
    <row r="55" customFormat="false" ht="13.8" hidden="false" customHeight="false" outlineLevel="0" collapsed="false">
      <c r="A55" s="1"/>
      <c r="B55" s="1"/>
      <c r="C55" s="1" t="s">
        <v>254</v>
      </c>
      <c r="D55" s="1"/>
      <c r="I55" s="1"/>
      <c r="J55" s="1"/>
      <c r="K55" s="15" t="s">
        <v>25</v>
      </c>
      <c r="L55" s="12"/>
      <c r="M55" s="66"/>
      <c r="N55" s="66" t="n">
        <v>45930</v>
      </c>
      <c r="O55" s="66"/>
      <c r="P55" s="66" t="n">
        <v>45930</v>
      </c>
      <c r="Q55" s="66" t="n">
        <v>45930</v>
      </c>
      <c r="R55" s="66" t="n">
        <v>45930</v>
      </c>
    </row>
    <row r="56" customFormat="false" ht="13.8" hidden="false" customHeight="false" outlineLevel="0" collapsed="false">
      <c r="I56" s="14" t="s">
        <v>215</v>
      </c>
      <c r="L56" s="12"/>
    </row>
    <row r="57" customFormat="false" ht="13.8" hidden="false" customHeight="false" outlineLevel="0" collapsed="false">
      <c r="A57" s="1"/>
      <c r="B57" s="1"/>
      <c r="C57" s="1" t="str">
        <f aca="false">"Last COD phase "&amp;I57</f>
        <v>Last COD phase 1</v>
      </c>
      <c r="H57" s="15" t="s">
        <v>232</v>
      </c>
      <c r="I57" s="102" t="n">
        <f aca="false" t="array" ref="I57:I64">ass_Model!$M$114:$M$121</f>
        <v>1</v>
      </c>
      <c r="J57" s="1"/>
      <c r="K57" s="15" t="s">
        <v>25</v>
      </c>
      <c r="L57" s="12"/>
      <c r="M57" s="66"/>
      <c r="N57" s="26" t="e">
        <f aca="false">_xlfn.MAXIFS(Construction_End,Vehicle_Asset,N$2)</f>
        <v>#VALUE!</v>
      </c>
      <c r="O57" s="26"/>
      <c r="P57" s="26" t="e">
        <f aca="false">_xlfn.MAXIFS(Construction_End,Vehicle_Asset,P$2,Asset_Activation,TRUE())</f>
        <v>#VALUE!</v>
      </c>
      <c r="Q57" s="26" t="e">
        <f aca="false">_xlfn.MAXIFS(Construction_End,Vehicle_Asset,Q$2,Asset_Activation,TRUE())</f>
        <v>#VALUE!</v>
      </c>
      <c r="R57" s="26" t="e">
        <f aca="false">_xlfn.MAXIFS(Construction_End,Vehicle_Asset,R$2)</f>
        <v>#VALUE!</v>
      </c>
    </row>
    <row r="58" customFormat="false" ht="13.8" hidden="false" customHeight="false" outlineLevel="0" collapsed="false">
      <c r="A58" s="1"/>
      <c r="B58" s="1"/>
      <c r="C58" s="1" t="str">
        <f aca="false">"Last COD phase "&amp;I58</f>
        <v>Last COD phase 2</v>
      </c>
      <c r="D58" s="1"/>
      <c r="H58" s="15" t="s">
        <v>232</v>
      </c>
      <c r="I58" s="102" t="n">
        <v>2</v>
      </c>
      <c r="J58" s="1"/>
      <c r="K58" s="15" t="s">
        <v>25</v>
      </c>
      <c r="L58" s="12"/>
      <c r="M58" s="66"/>
      <c r="N58" s="66"/>
      <c r="O58" s="66"/>
      <c r="P58" s="66"/>
      <c r="Q58" s="66"/>
      <c r="R58" s="66"/>
    </row>
    <row r="59" customFormat="false" ht="13.8" hidden="false" customHeight="false" outlineLevel="0" collapsed="false">
      <c r="A59" s="1"/>
      <c r="B59" s="1"/>
      <c r="C59" s="1" t="str">
        <f aca="false">"Last COD phase "&amp;I59</f>
        <v>Last COD phase 3</v>
      </c>
      <c r="D59" s="1"/>
      <c r="H59" s="15" t="s">
        <v>232</v>
      </c>
      <c r="I59" s="102" t="n">
        <v>3</v>
      </c>
      <c r="J59" s="1"/>
      <c r="K59" s="15" t="s">
        <v>25</v>
      </c>
      <c r="L59" s="12"/>
      <c r="M59" s="66"/>
      <c r="N59" s="66"/>
      <c r="O59" s="66"/>
      <c r="P59" s="66"/>
      <c r="Q59" s="66"/>
      <c r="R59" s="66"/>
    </row>
    <row r="60" customFormat="false" ht="13.8" hidden="false" customHeight="false" outlineLevel="0" collapsed="false">
      <c r="A60" s="1"/>
      <c r="B60" s="1"/>
      <c r="C60" s="1" t="str">
        <f aca="false">"Last COD phase "&amp;I60</f>
        <v>Last COD phase 4</v>
      </c>
      <c r="D60" s="1"/>
      <c r="H60" s="15" t="s">
        <v>232</v>
      </c>
      <c r="I60" s="102" t="n">
        <v>4</v>
      </c>
      <c r="J60" s="1"/>
      <c r="K60" s="15" t="s">
        <v>25</v>
      </c>
      <c r="L60" s="12"/>
      <c r="M60" s="66"/>
      <c r="N60" s="66"/>
      <c r="O60" s="66"/>
      <c r="P60" s="66"/>
      <c r="Q60" s="66"/>
      <c r="R60" s="66"/>
    </row>
    <row r="61" customFormat="false" ht="13.8" hidden="false" customHeight="false" outlineLevel="0" collapsed="false">
      <c r="A61" s="1"/>
      <c r="B61" s="1"/>
      <c r="C61" s="1" t="str">
        <f aca="false">"Last COD phase "&amp;I61</f>
        <v>Last COD phase 5</v>
      </c>
      <c r="D61" s="1"/>
      <c r="H61" s="15" t="s">
        <v>232</v>
      </c>
      <c r="I61" s="102" t="n">
        <v>5</v>
      </c>
      <c r="J61" s="1"/>
      <c r="K61" s="15" t="s">
        <v>25</v>
      </c>
      <c r="L61" s="12"/>
      <c r="M61" s="66"/>
      <c r="N61" s="66"/>
      <c r="O61" s="66"/>
      <c r="P61" s="66"/>
      <c r="Q61" s="66"/>
      <c r="R61" s="66"/>
    </row>
    <row r="62" customFormat="false" ht="13.8" hidden="false" customHeight="false" outlineLevel="0" collapsed="false">
      <c r="A62" s="1"/>
      <c r="B62" s="1"/>
      <c r="C62" s="1" t="str">
        <f aca="false">"Last COD phase "&amp;I62</f>
        <v>Last COD phase 6</v>
      </c>
      <c r="D62" s="1"/>
      <c r="E62" s="1"/>
      <c r="H62" s="15" t="s">
        <v>232</v>
      </c>
      <c r="I62" s="102" t="n">
        <v>6</v>
      </c>
      <c r="J62" s="1"/>
      <c r="K62" s="15" t="s">
        <v>25</v>
      </c>
      <c r="L62" s="12"/>
      <c r="M62" s="66"/>
      <c r="N62" s="66"/>
      <c r="O62" s="66"/>
      <c r="P62" s="66"/>
      <c r="Q62" s="66"/>
      <c r="R62" s="66"/>
    </row>
    <row r="63" customFormat="false" ht="13.8" hidden="false" customHeight="false" outlineLevel="0" collapsed="false">
      <c r="A63" s="1"/>
      <c r="B63" s="1"/>
      <c r="C63" s="1" t="str">
        <f aca="false">"Last COD phase "&amp;I63</f>
        <v>Last COD phase 7</v>
      </c>
      <c r="D63" s="1"/>
      <c r="E63" s="1"/>
      <c r="H63" s="15" t="s">
        <v>232</v>
      </c>
      <c r="I63" s="102" t="n">
        <v>7</v>
      </c>
      <c r="J63" s="1"/>
      <c r="K63" s="15" t="s">
        <v>25</v>
      </c>
      <c r="L63" s="12"/>
      <c r="M63" s="66"/>
      <c r="N63" s="66"/>
      <c r="O63" s="66"/>
      <c r="P63" s="66"/>
      <c r="Q63" s="66"/>
      <c r="R63" s="66"/>
    </row>
    <row r="64" customFormat="false" ht="13.8" hidden="false" customHeight="false" outlineLevel="0" collapsed="false">
      <c r="A64" s="1"/>
      <c r="B64" s="1"/>
      <c r="C64" s="1" t="str">
        <f aca="false">"Last COD phase "&amp;I64</f>
        <v>Last COD phase 8</v>
      </c>
      <c r="D64" s="1"/>
      <c r="E64" s="1"/>
      <c r="H64" s="15" t="s">
        <v>232</v>
      </c>
      <c r="I64" s="102" t="n">
        <v>8</v>
      </c>
      <c r="J64" s="1"/>
      <c r="K64" s="15" t="s">
        <v>25</v>
      </c>
      <c r="L64" s="12"/>
      <c r="M64" s="66"/>
      <c r="N64" s="66"/>
      <c r="O64" s="66"/>
      <c r="P64" s="66"/>
      <c r="Q64" s="66"/>
      <c r="R64" s="66"/>
    </row>
    <row r="65" customFormat="false" ht="13.8" hidden="false" customHeight="false" outlineLevel="0" collapsed="false">
      <c r="L65" s="12"/>
    </row>
    <row r="66" customFormat="false" ht="14.9" hidden="false" customHeight="false" outlineLevel="0" collapsed="false">
      <c r="A66" s="1"/>
      <c r="B66" s="1"/>
      <c r="C66" s="1" t="str">
        <f aca="false">"Phase "&amp;I57&amp;" Activation"</f>
        <v>Phase 1 Activation</v>
      </c>
      <c r="E66" s="1"/>
      <c r="J66" s="1"/>
      <c r="K66" s="15" t="s">
        <v>109</v>
      </c>
      <c r="L66" s="12"/>
      <c r="M66" s="63"/>
      <c r="N66" s="63" t="b">
        <f aca="false">TRUE()</f>
        <v>1</v>
      </c>
      <c r="O66" s="63"/>
      <c r="P66" s="63" t="b">
        <f aca="false">TRUE()</f>
        <v>1</v>
      </c>
      <c r="Q66" s="63" t="b">
        <f aca="false">TRUE()</f>
        <v>1</v>
      </c>
      <c r="R66" s="63" t="b">
        <f aca="false">TRUE()</f>
        <v>1</v>
      </c>
    </row>
    <row r="67" customFormat="false" ht="13.8" hidden="false" customHeight="false" outlineLevel="0" collapsed="false">
      <c r="A67" s="1"/>
      <c r="B67" s="1"/>
      <c r="C67" s="1" t="str">
        <f aca="false">"Phase "&amp;I58&amp;" Activation"</f>
        <v>Phase 2 Activation</v>
      </c>
      <c r="D67" s="1"/>
      <c r="E67" s="1"/>
      <c r="J67" s="1"/>
      <c r="K67" s="15" t="s">
        <v>109</v>
      </c>
      <c r="L67" s="12"/>
      <c r="M67" s="63"/>
      <c r="N67" s="63"/>
      <c r="O67" s="63"/>
      <c r="P67" s="63"/>
      <c r="Q67" s="63"/>
      <c r="R67" s="63"/>
    </row>
    <row r="68" customFormat="false" ht="13.8" hidden="false" customHeight="false" outlineLevel="0" collapsed="false">
      <c r="A68" s="1"/>
      <c r="B68" s="1"/>
      <c r="C68" s="1" t="str">
        <f aca="false">"Phase "&amp;I59&amp;" Activation"</f>
        <v>Phase 3 Activation</v>
      </c>
      <c r="D68" s="1"/>
      <c r="E68" s="1"/>
      <c r="J68" s="1"/>
      <c r="K68" s="15" t="s">
        <v>109</v>
      </c>
      <c r="L68" s="12"/>
      <c r="M68" s="63"/>
      <c r="N68" s="63"/>
      <c r="O68" s="63"/>
      <c r="P68" s="63"/>
      <c r="Q68" s="63"/>
      <c r="R68" s="63"/>
    </row>
    <row r="69" customFormat="false" ht="13.8" hidden="false" customHeight="false" outlineLevel="0" collapsed="false">
      <c r="A69" s="1"/>
      <c r="B69" s="1"/>
      <c r="C69" s="1" t="str">
        <f aca="false">"Phase "&amp;I60&amp;" Activation"</f>
        <v>Phase 4 Activation</v>
      </c>
      <c r="D69" s="1"/>
      <c r="E69" s="1"/>
      <c r="J69" s="1"/>
      <c r="K69" s="15" t="s">
        <v>109</v>
      </c>
      <c r="L69" s="12"/>
      <c r="M69" s="63"/>
      <c r="N69" s="63"/>
      <c r="O69" s="63"/>
      <c r="P69" s="63"/>
      <c r="Q69" s="63"/>
      <c r="R69" s="63"/>
    </row>
    <row r="70" customFormat="false" ht="13.8" hidden="false" customHeight="false" outlineLevel="0" collapsed="false">
      <c r="A70" s="1"/>
      <c r="B70" s="1"/>
      <c r="C70" s="1" t="str">
        <f aca="false">"Phase "&amp;I61&amp;" Activation"</f>
        <v>Phase 5 Activation</v>
      </c>
      <c r="D70" s="1"/>
      <c r="E70" s="1"/>
      <c r="J70" s="1"/>
      <c r="K70" s="15" t="s">
        <v>109</v>
      </c>
      <c r="L70" s="12"/>
      <c r="M70" s="63"/>
      <c r="N70" s="63"/>
      <c r="O70" s="63"/>
      <c r="P70" s="63"/>
      <c r="Q70" s="63"/>
      <c r="R70" s="63"/>
    </row>
    <row r="71" customFormat="false" ht="13.8" hidden="false" customHeight="false" outlineLevel="0" collapsed="false">
      <c r="A71" s="1"/>
      <c r="B71" s="1"/>
      <c r="C71" s="1" t="str">
        <f aca="false">"Phase "&amp;I62&amp;" Activation"</f>
        <v>Phase 6 Activation</v>
      </c>
      <c r="D71" s="1"/>
      <c r="E71" s="1"/>
      <c r="J71" s="1"/>
      <c r="K71" s="15" t="s">
        <v>109</v>
      </c>
      <c r="L71" s="12"/>
      <c r="M71" s="63"/>
      <c r="N71" s="63"/>
      <c r="O71" s="63"/>
      <c r="P71" s="63"/>
      <c r="Q71" s="63"/>
      <c r="R71" s="63"/>
    </row>
    <row r="72" customFormat="false" ht="13.8" hidden="false" customHeight="false" outlineLevel="0" collapsed="false">
      <c r="A72" s="1"/>
      <c r="B72" s="1"/>
      <c r="C72" s="1" t="str">
        <f aca="false">"Phase "&amp;I63&amp;" Activation"</f>
        <v>Phase 7 Activation</v>
      </c>
      <c r="D72" s="1"/>
      <c r="E72" s="1"/>
      <c r="J72" s="1"/>
      <c r="K72" s="15" t="s">
        <v>109</v>
      </c>
      <c r="L72" s="12"/>
      <c r="M72" s="63"/>
      <c r="N72" s="63"/>
      <c r="O72" s="63"/>
      <c r="P72" s="63"/>
      <c r="Q72" s="63"/>
      <c r="R72" s="63"/>
    </row>
    <row r="73" customFormat="false" ht="13.8" hidden="false" customHeight="false" outlineLevel="0" collapsed="false">
      <c r="A73" s="1"/>
      <c r="B73" s="1"/>
      <c r="C73" s="1" t="str">
        <f aca="false">"Phase "&amp;I64&amp;" Activation"</f>
        <v>Phase 8 Activation</v>
      </c>
      <c r="D73" s="1"/>
      <c r="E73" s="1"/>
      <c r="J73" s="1"/>
      <c r="K73" s="15" t="s">
        <v>109</v>
      </c>
      <c r="L73" s="12"/>
      <c r="M73" s="63"/>
      <c r="N73" s="63"/>
      <c r="O73" s="63"/>
      <c r="P73" s="63"/>
      <c r="Q73" s="63"/>
      <c r="R73" s="63"/>
    </row>
    <row r="74" customFormat="false" ht="13.8" hidden="false" customHeight="false" outlineLevel="0" collapsed="false">
      <c r="L74" s="12"/>
    </row>
    <row r="75" customFormat="false" ht="13.8" hidden="false" customHeight="false" outlineLevel="0" collapsed="false">
      <c r="C75" s="5" t="s">
        <v>255</v>
      </c>
      <c r="K75" s="15" t="s">
        <v>256</v>
      </c>
      <c r="L75" s="12"/>
      <c r="M75" s="41" t="e">
        <f aca="false" t="array" ref="M75:M75">IF(AND(SUM(M57:M64)&gt;0,M51=TRUE(),M3=TRUE()),MATCH(MAX(M57:M64*M66:M73),M57:M64*M66:M73,),0)</f>
        <v>#REF!</v>
      </c>
      <c r="N75" s="41" t="e">
        <f aca="false" t="array" ref="N75:N75">IF(AND(SUM(N57:N64)&gt;0,N51=TRUE(),N3=TRUE()),MATCH(MAX(N57:N64*N66:N73),N57:N64*N66:N73,),0)</f>
        <v>#VALUE!</v>
      </c>
      <c r="O75" s="41"/>
      <c r="P75" s="41" t="e">
        <f aca="false" t="array" ref="P75:P75">IF(AND(SUM(P57:P64)&gt;0,P51=TRUE(),P3=TRUE()),MATCH(MAX(P57:P64*P66:P73),P57:P64*P66:P73,),0)</f>
        <v>#VALUE!</v>
      </c>
      <c r="Q75" s="41" t="e">
        <f aca="false" t="array" ref="Q75:Q75">IF(AND(SUM(Q57:Q64)&gt;0,Q51=TRUE(),Q3=TRUE()),MATCH(MAX(Q57:Q64*Q66:Q73),Q57:Q64*Q66:Q73,),0)</f>
        <v>#VALUE!</v>
      </c>
      <c r="R75" s="41" t="e">
        <f aca="false" t="array" ref="R75:R75">IF(AND(SUM(R57:R64)&gt;0,R51=TRUE(),R3=TRUE()),MATCH(MAX(R57:R64*R66:R73),R57:R64*R66:R73,),0)</f>
        <v>#VALUE!</v>
      </c>
    </row>
    <row r="76" customFormat="false" ht="13.8" hidden="false" customHeight="false" outlineLevel="0" collapsed="false">
      <c r="L76" s="12"/>
    </row>
    <row r="77" customFormat="false" ht="13.8" hidden="false" customHeight="false" outlineLevel="0" collapsed="false">
      <c r="B77" s="1"/>
      <c r="C77" s="1" t="s">
        <v>257</v>
      </c>
      <c r="E77" s="1"/>
      <c r="J77" s="1"/>
      <c r="K77" s="15" t="s">
        <v>109</v>
      </c>
      <c r="L77" s="12"/>
      <c r="M77" s="63"/>
      <c r="N77" s="63" t="b">
        <f aca="false">FALSE()</f>
        <v>0</v>
      </c>
      <c r="O77" s="63"/>
      <c r="P77" s="63" t="b">
        <f aca="false">FALSE()</f>
        <v>0</v>
      </c>
      <c r="Q77" s="63" t="b">
        <f aca="false">FALSE()</f>
        <v>0</v>
      </c>
      <c r="R77" s="63" t="b">
        <f aca="false">FALSE()</f>
        <v>0</v>
      </c>
    </row>
    <row r="78" customFormat="false" ht="13.8" hidden="false" customHeight="false" outlineLevel="0" collapsed="false">
      <c r="L78" s="12"/>
    </row>
    <row r="79" customFormat="false" ht="13.8" hidden="false" customHeight="false" outlineLevel="0" collapsed="false">
      <c r="B79" s="1"/>
      <c r="C79" s="1" t="s">
        <v>258</v>
      </c>
      <c r="D79" s="1"/>
      <c r="E79" s="1"/>
      <c r="F79" s="1"/>
      <c r="I79" s="1"/>
      <c r="J79" s="1"/>
      <c r="K79" s="15" t="s">
        <v>25</v>
      </c>
      <c r="L79" s="12"/>
      <c r="M79" s="26" t="e">
        <f aca="false">IF(AND(M51=TRUE(),M3=TRUE()),M55,)</f>
        <v>#REF!</v>
      </c>
      <c r="N79" s="26" t="e">
        <f aca="false">IF(AND(N51=TRUE(),N3=TRUE()),N55,)</f>
        <v>#REF!</v>
      </c>
      <c r="O79" s="26"/>
      <c r="P79" s="26" t="e">
        <f aca="false">IF(AND(P51=TRUE(),P3=TRUE()),P55,)</f>
        <v>#REF!</v>
      </c>
      <c r="Q79" s="26" t="e">
        <f aca="false">IF(AND(Q51=TRUE(),Q3=TRUE()),Q55,)</f>
        <v>#REF!</v>
      </c>
      <c r="R79" s="26" t="e">
        <f aca="false">IF(AND(R51=TRUE(),R3=TRUE()),R55,)</f>
        <v>#REF!</v>
      </c>
    </row>
    <row r="80" customFormat="false" ht="13.8" hidden="false" customHeight="false" outlineLevel="0" collapsed="false">
      <c r="B80" s="1"/>
      <c r="C80" s="1" t="s">
        <v>259</v>
      </c>
      <c r="D80" s="1"/>
      <c r="E80" s="1"/>
      <c r="F80" s="1"/>
      <c r="I80" s="1"/>
      <c r="J80" s="1"/>
      <c r="K80" s="15" t="s">
        <v>25</v>
      </c>
      <c r="L80" s="12"/>
      <c r="M80" s="26" t="e">
        <f aca="false">IF(AND(M51=TRUE(),M3=TRUE()),IF(Phase=9,MAX(M57:M64*M66:M73,M55),MAX(INDEX(M57:M64*M66:M73,Phase,),M55)),)</f>
        <v>#REF!</v>
      </c>
      <c r="N80" s="26" t="e">
        <f aca="false">IF(AND(N51=TRUE(),N3=TRUE()),IF(Phase=9,MAX(N57:N64*N66:N73,N55),MAX(INDEX(N57:N64*N66:N73,Phase,),N55)),)</f>
        <v>#REF!</v>
      </c>
      <c r="O80" s="26"/>
      <c r="P80" s="26" t="e">
        <f aca="false" t="array" ref="P80:P80">IF(AND(P51=TRUE(),P3=TRUE()),IF(Phase=9,MAX(P57:P64*P66:P73,P55),MAX(INDEX(P57:P64*P66:P73,Phase,),P55)),)</f>
        <v>#REF!</v>
      </c>
      <c r="Q80" s="26" t="e">
        <f aca="false" t="array" ref="Q80:Q80">IF(AND(Q51=TRUE(),Q3=TRUE()),IF(Phase=9,MAX(Q57:Q64*Q66:Q73,Q55),MAX(INDEX(Q57:Q64*Q66:Q73,Phase,),Q55)),)</f>
        <v>#REF!</v>
      </c>
      <c r="R80" s="26" t="e">
        <f aca="false" t="array" ref="R80:R80">IF(AND(R51=TRUE(),R3=TRUE()),IF(Phase=9,MAX(R57:R64*R66:R73,R55),MAX(INDEX(R57:R64*R66:R73,Phase,),R55)),)</f>
        <v>#REF!</v>
      </c>
    </row>
    <row r="81" customFormat="false" ht="13.8" hidden="false" customHeight="false" outlineLevel="0" collapsed="false">
      <c r="B81" s="1"/>
      <c r="C81" s="1"/>
      <c r="D81" s="1"/>
      <c r="E81" s="1"/>
      <c r="F81" s="1"/>
      <c r="I81" s="1"/>
      <c r="J81" s="1"/>
      <c r="K81" s="1"/>
      <c r="L81" s="12"/>
      <c r="M81" s="1"/>
      <c r="N81" s="1"/>
      <c r="O81" s="1"/>
      <c r="P81" s="1"/>
      <c r="Q81" s="1"/>
      <c r="R81" s="1"/>
    </row>
    <row r="82" customFormat="false" ht="13.8" hidden="false" customHeight="false" outlineLevel="0" collapsed="false">
      <c r="C82" s="1" t="str">
        <f aca="false">"Consolidation date of Phase 1 if "&amp;C83</f>
        <v>Consolidation date of Phase 1 if Consolidation before Last COD Activation</v>
      </c>
      <c r="K82" s="15" t="s">
        <v>25</v>
      </c>
      <c r="L82" s="12"/>
      <c r="M82" s="66"/>
      <c r="N82" s="66"/>
      <c r="O82" s="66"/>
      <c r="P82" s="66"/>
      <c r="Q82" s="66"/>
      <c r="R82" s="66"/>
    </row>
    <row r="83" customFormat="false" ht="13.8" hidden="false" customHeight="false" outlineLevel="0" collapsed="false">
      <c r="C83" s="1" t="s">
        <v>260</v>
      </c>
      <c r="K83" s="15" t="s">
        <v>109</v>
      </c>
      <c r="L83" s="12"/>
      <c r="M83" s="63"/>
      <c r="N83" s="63"/>
      <c r="O83" s="63"/>
      <c r="P83" s="63"/>
      <c r="Q83" s="63"/>
      <c r="R83" s="63"/>
    </row>
    <row r="84" customFormat="false" ht="13.8" hidden="false" customHeight="false" outlineLevel="0" collapsed="false">
      <c r="A84" s="1"/>
      <c r="B84" s="1"/>
      <c r="C84" s="1" t="s">
        <v>61</v>
      </c>
      <c r="D84" s="1"/>
      <c r="E84" s="1"/>
      <c r="F84" s="1"/>
      <c r="I84" s="1"/>
      <c r="J84" s="1"/>
      <c r="K84" s="15" t="s">
        <v>25</v>
      </c>
      <c r="L84" s="12"/>
      <c r="M84" s="26" t="e">
        <f aca="false">IF(AND(M51=TRUE(),M3=TRUE()),IF($N$83,M82,EDATE(IF(Phase=9,_xlfn.MINIFS(M57:M64,M66:M73,TRUE()),M80)+1,M233*(M234=FALSE()))),0)</f>
        <v>#REF!</v>
      </c>
      <c r="N84" s="26" t="e">
        <f aca="false">IF(AND(N51=TRUE(),N3=TRUE()),IF($N$83,N82,EDATE(IF(Phase=9,_xlfn.MINIFS(N57:N64,N66:N73,TRUE()),N80)+1,N233*(N234=FALSE()))),0)</f>
        <v>#REF!</v>
      </c>
      <c r="O84" s="26"/>
      <c r="P84" s="26" t="e">
        <f aca="false">IF(AND(P51=TRUE(),P3=TRUE()),IF($N$83,P82,EDATE(IF(Phase=9,_xlfn.MINIFS(P57:P64,P66:P73,TRUE()),P80)+1,P233*(P234=FALSE()))),0)</f>
        <v>#REF!</v>
      </c>
      <c r="Q84" s="26" t="e">
        <f aca="false">IF(AND(Q51=TRUE(),Q3=TRUE()),IF($N$83,Q82,EDATE(IF(Phase=9,_xlfn.MINIFS(Q57:Q64,Q66:Q73,TRUE()),Q80)+1,Q233*(Q234=FALSE()))),0)</f>
        <v>#REF!</v>
      </c>
      <c r="R84" s="26" t="e">
        <f aca="false">IF(AND(R51=TRUE(),R3=TRUE()),IF($N$83,R82,EDATE(IF(Phase=9,_xlfn.MINIFS(R57:R64,R66:R73,TRUE()),R80)+1,R233*(R234=FALSE()))),0)</f>
        <v>#REF!</v>
      </c>
    </row>
    <row r="85" customFormat="false" ht="13.8" hidden="false" customHeight="false" outlineLevel="0" collapsed="false">
      <c r="A85" s="1"/>
      <c r="B85" s="1"/>
      <c r="C85" s="1" t="s">
        <v>261</v>
      </c>
      <c r="D85" s="1"/>
      <c r="E85" s="1"/>
      <c r="F85" s="1"/>
      <c r="I85" s="1"/>
      <c r="J85" s="1"/>
      <c r="K85" s="15" t="s">
        <v>108</v>
      </c>
      <c r="L85" s="12"/>
      <c r="M85" s="94"/>
      <c r="N85" s="94" t="n">
        <v>9</v>
      </c>
      <c r="O85" s="94"/>
      <c r="P85" s="94" t="n">
        <v>9</v>
      </c>
      <c r="Q85" s="94" t="n">
        <v>9</v>
      </c>
      <c r="R85" s="94" t="n">
        <v>9</v>
      </c>
    </row>
    <row r="86" customFormat="false" ht="13.8" hidden="false" customHeight="false" outlineLevel="0" collapsed="false">
      <c r="B86" s="1"/>
      <c r="C86" s="1" t="s">
        <v>262</v>
      </c>
      <c r="D86" s="1"/>
      <c r="E86" s="1"/>
      <c r="F86" s="1"/>
      <c r="I86" s="1"/>
      <c r="J86" s="1"/>
      <c r="K86" s="15" t="s">
        <v>25</v>
      </c>
      <c r="L86" s="12"/>
      <c r="M86" s="26" t="e">
        <f aca="false">IF(AND(M$51=TRUE(),M$3=TRUE()),IF(OR(Phase=1,Phase=9),EDATE(M$84,M$85),IF(M$77,EDATE(M79,ROUNDDOWN((M$80-M$79)/(30.5*3)+M$85/3,0)*3),EDATE(M$84,M$85))))</f>
        <v>#REF!</v>
      </c>
      <c r="N86" s="26" t="e">
        <f aca="false">IF(AND(N$51=TRUE(),N$3=TRUE()),IF(OR(Phase=1,Phase=9),EDATE(N$84,N$85),IF(N$77,EDATE(N79,ROUNDDOWN((N$80-N$79)/(30.5*3)+N$85/3,0)*3),EDATE(N$84,N$85))))</f>
        <v>#REF!</v>
      </c>
      <c r="O86" s="26"/>
      <c r="P86" s="26" t="e">
        <f aca="false">IF(AND(P$51=TRUE(),P$3=TRUE()),IF(OR(Phase=1,Phase=9),EDATE(P$84,P$85),IF(P$77,EDATE(P79,ROUNDDOWN((P$80-P$79)/(30.5*3)+P$85/3,0)*3),EDATE(P$84,P$85))))</f>
        <v>#REF!</v>
      </c>
      <c r="Q86" s="26" t="e">
        <f aca="false">IF(AND(Q$51=TRUE(),Q$3=TRUE()),IF(OR(Phase=1,Phase=9),EDATE(Q$84,Q$85),IF(Q$77,EDATE(Q79,ROUNDDOWN((Q$80-Q$79)/(30.5*3)+Q$85/3,0)*3),EDATE(Q$84,Q$85))))</f>
        <v>#REF!</v>
      </c>
      <c r="R86" s="26" t="e">
        <f aca="false">IF(AND(R$51=TRUE(),R$3=TRUE()),IF(OR(Phase=1,Phase=9),EDATE(R$84,R$85),IF(R$77,EDATE(R79,ROUNDDOWN((R$80-R$79)/(30.5*3)+R$85/3,0)*3),EDATE(R$84,R$85))))</f>
        <v>#REF!</v>
      </c>
    </row>
    <row r="87" customFormat="false" ht="13.8" hidden="false" customHeight="false" outlineLevel="0" collapsed="false">
      <c r="B87" s="1"/>
      <c r="C87" s="1" t="s">
        <v>65</v>
      </c>
      <c r="D87" s="1"/>
      <c r="E87" s="1"/>
      <c r="F87" s="1"/>
      <c r="I87" s="1"/>
      <c r="J87" s="1"/>
      <c r="K87" s="15" t="s">
        <v>66</v>
      </c>
      <c r="L87" s="12"/>
      <c r="M87" s="103" t="e">
        <f aca="false">YEARFRAC(M84,M88,1)</f>
        <v>#VALUE!</v>
      </c>
      <c r="N87" s="103" t="e">
        <f aca="false">YEARFRAC(N84,N88,1)</f>
        <v>#VALUE!</v>
      </c>
      <c r="O87" s="103"/>
      <c r="P87" s="103" t="e">
        <f aca="false">YEARFRAC(P84,P88,1)</f>
        <v>#VALUE!</v>
      </c>
      <c r="Q87" s="103" t="e">
        <f aca="false">YEARFRAC(Q84,Q88,1)</f>
        <v>#VALUE!</v>
      </c>
      <c r="R87" s="103" t="e">
        <f aca="false">YEARFRAC(R84,R88,1)</f>
        <v>#VALUE!</v>
      </c>
    </row>
    <row r="88" customFormat="false" ht="13.8" hidden="false" customHeight="false" outlineLevel="0" collapsed="false">
      <c r="B88" s="1"/>
      <c r="C88" s="1" t="s">
        <v>263</v>
      </c>
      <c r="D88" s="1"/>
      <c r="E88" s="1"/>
      <c r="F88" s="1"/>
      <c r="I88" s="1"/>
      <c r="J88" s="1"/>
      <c r="K88" s="15" t="s">
        <v>25</v>
      </c>
      <c r="L88" s="12"/>
      <c r="M88" s="26" t="e">
        <f aca="false">_xlfn.MAXIFS(#REF!,Perimeter_Asset,M$5)</f>
        <v>#VALUE!</v>
      </c>
      <c r="N88" s="26" t="e">
        <f aca="false">_xlfn.MAXIFS(#REF!,Perimeter_Asset,N$5)</f>
        <v>#VALUE!</v>
      </c>
      <c r="O88" s="26"/>
      <c r="P88" s="26" t="e">
        <f aca="false">_xlfn.MAXIFS(#REF!,Perimeter_Asset,P$5)</f>
        <v>#VALUE!</v>
      </c>
      <c r="Q88" s="26" t="e">
        <f aca="false">_xlfn.MAXIFS(#REF!,Perimeter_Asset,Q$5)</f>
        <v>#VALUE!</v>
      </c>
      <c r="R88" s="26" t="e">
        <f aca="false">_xlfn.MAXIFS(#REF!,Perimeter_Asset,R$5)</f>
        <v>#VALUE!</v>
      </c>
    </row>
    <row r="89" customFormat="false" ht="13.8" hidden="false" customHeight="false" outlineLevel="0" collapsed="false">
      <c r="L89" s="90"/>
    </row>
    <row r="90" customFormat="false" ht="13.8" hidden="false" customHeight="false" outlineLevel="0" collapsed="false">
      <c r="A90" s="1"/>
      <c r="C90" s="5" t="s">
        <v>264</v>
      </c>
      <c r="K90" s="15" t="s">
        <v>108</v>
      </c>
      <c r="L90" s="90"/>
      <c r="M90" s="94"/>
      <c r="N90" s="94" t="n">
        <v>3</v>
      </c>
      <c r="O90" s="94"/>
      <c r="P90" s="94" t="n">
        <v>3</v>
      </c>
      <c r="Q90" s="94" t="n">
        <v>3</v>
      </c>
      <c r="R90" s="94" t="n">
        <v>3</v>
      </c>
    </row>
    <row r="91" customFormat="false" ht="13.8" hidden="false" customHeight="false" outlineLevel="0" collapsed="false">
      <c r="A91" s="1"/>
      <c r="L91" s="90"/>
    </row>
    <row r="92" customFormat="false" ht="13.8" hidden="false" customHeight="false" outlineLevel="0" collapsed="false">
      <c r="A92" s="1"/>
      <c r="C92" s="14" t="s">
        <v>265</v>
      </c>
      <c r="L92" s="90"/>
    </row>
    <row r="93" customFormat="false" ht="13.8" hidden="false" customHeight="false" outlineLevel="0" collapsed="false">
      <c r="A93" s="1"/>
      <c r="C93" s="104" t="str">
        <f aca="false">"Phase "&amp;I93</f>
        <v>Phase 1</v>
      </c>
      <c r="G93" s="14" t="s">
        <v>215</v>
      </c>
      <c r="H93" s="15" t="s">
        <v>232</v>
      </c>
      <c r="I93" s="105" t="n">
        <v>1</v>
      </c>
      <c r="L93" s="90"/>
    </row>
    <row r="94" customFormat="false" ht="13.8" hidden="false" customHeight="false" outlineLevel="0" collapsed="false">
      <c r="A94" s="1"/>
      <c r="C94" s="1" t="s">
        <v>132</v>
      </c>
      <c r="K94" s="15" t="s">
        <v>25</v>
      </c>
      <c r="L94" s="12"/>
      <c r="M94" s="26" t="n">
        <f aca="false" t="array" ref="M94:M94">IF($N$83,M82,INDEX(M$57:M$64,$I93,)+1)</f>
        <v>1</v>
      </c>
      <c r="N94" s="26" t="e">
        <f aca="false" t="array" ref="N94:N94">IF($N$83,N82,INDEX(N$57:N$64,$I93,)+1)</f>
        <v>#VALUE!</v>
      </c>
      <c r="O94" s="26"/>
      <c r="P94" s="26" t="e">
        <f aca="false" t="array" ref="P94:P94">IF($N$83,P82,INDEX(P$57:P$64,$I93,)+1)</f>
        <v>#VALUE!</v>
      </c>
      <c r="Q94" s="26" t="e">
        <f aca="false" t="array" ref="Q94:Q94">IF($N$83,Q82,INDEX(Q$57:Q$64,$I93,)+1)</f>
        <v>#VALUE!</v>
      </c>
      <c r="R94" s="26" t="e">
        <f aca="false" t="array" ref="R94:R94">IF($N$83,R82,INDEX(R$57:R$64,$I93,)+1)</f>
        <v>#VALUE!</v>
      </c>
    </row>
    <row r="95" customFormat="false" ht="13.8" hidden="false" customHeight="false" outlineLevel="0" collapsed="false">
      <c r="A95" s="1"/>
      <c r="C95" s="1" t="s">
        <v>136</v>
      </c>
      <c r="K95" s="15" t="s">
        <v>25</v>
      </c>
      <c r="L95" s="12"/>
      <c r="M95" s="26" t="e">
        <f aca="false">_xlfn.MAXIFS(#REF!,#REF!,$I93,#REF!,M$5)</f>
        <v>#VALUE!</v>
      </c>
      <c r="N95" s="26" t="e">
        <f aca="false">_xlfn.MAXIFS(#REF!,#REF!,$I93,#REF!,N$5)</f>
        <v>#VALUE!</v>
      </c>
      <c r="O95" s="26"/>
      <c r="P95" s="26" t="e">
        <f aca="false">_xlfn.MAXIFS(#REF!,#REF!,$I93,#REF!,P$5)</f>
        <v>#VALUE!</v>
      </c>
      <c r="Q95" s="26" t="e">
        <f aca="false">_xlfn.MAXIFS(#REF!,#REF!,$I93,#REF!,Q$5)</f>
        <v>#VALUE!</v>
      </c>
      <c r="R95" s="26" t="e">
        <f aca="false">_xlfn.MAXIFS(#REF!,#REF!,$I93,#REF!,R$5)</f>
        <v>#VALUE!</v>
      </c>
    </row>
    <row r="96" customFormat="false" ht="13.8" hidden="false" customHeight="false" outlineLevel="0" collapsed="false">
      <c r="A96" s="1"/>
      <c r="L96" s="90"/>
    </row>
    <row r="97" customFormat="false" ht="13.8" hidden="false" customHeight="false" outlineLevel="0" collapsed="false">
      <c r="A97" s="1"/>
      <c r="C97" s="104" t="str">
        <f aca="false">"Phase "&amp;I97</f>
        <v>Phase 2</v>
      </c>
      <c r="G97" s="14" t="s">
        <v>215</v>
      </c>
      <c r="H97" s="15" t="s">
        <v>232</v>
      </c>
      <c r="I97" s="86" t="n">
        <f aca="false">I93+1</f>
        <v>2</v>
      </c>
      <c r="L97" s="90"/>
    </row>
    <row r="98" customFormat="false" ht="13.8" hidden="false" customHeight="false" outlineLevel="0" collapsed="false">
      <c r="A98" s="1"/>
      <c r="C98" s="1" t="s">
        <v>132</v>
      </c>
      <c r="K98" s="15" t="s">
        <v>25</v>
      </c>
      <c r="L98" s="12"/>
      <c r="M98" s="26" t="n">
        <f aca="false" t="array" ref="M98:M98">INDEX(M$57:M$64,$I97,)+1</f>
        <v>1</v>
      </c>
      <c r="N98" s="26" t="n">
        <f aca="false" t="array" ref="N98:N98">INDEX(N$57:N$64,$I97,)+1</f>
        <v>1</v>
      </c>
      <c r="O98" s="26"/>
      <c r="P98" s="26" t="n">
        <f aca="false" t="array" ref="P98:P98">INDEX(P$57:P$64,$I97,)+1</f>
        <v>1</v>
      </c>
      <c r="Q98" s="26" t="n">
        <f aca="false" t="array" ref="Q98:Q98">INDEX(Q$57:Q$64,$I97,)+1</f>
        <v>1</v>
      </c>
      <c r="R98" s="26" t="n">
        <f aca="false" t="array" ref="R98:R98">INDEX(R$57:R$64,$I97,)+1</f>
        <v>1</v>
      </c>
    </row>
    <row r="99" customFormat="false" ht="13.8" hidden="false" customHeight="false" outlineLevel="0" collapsed="false">
      <c r="A99" s="1"/>
      <c r="C99" s="1" t="s">
        <v>136</v>
      </c>
      <c r="K99" s="15" t="s">
        <v>25</v>
      </c>
      <c r="L99" s="12"/>
      <c r="M99" s="26" t="e">
        <f aca="false">_xlfn.MAXIFS(#REF!,#REF!,$I97,#REF!,M$5)</f>
        <v>#VALUE!</v>
      </c>
      <c r="N99" s="26" t="e">
        <f aca="false">_xlfn.MAXIFS(#REF!,#REF!,$I97,#REF!,N$5)</f>
        <v>#VALUE!</v>
      </c>
      <c r="O99" s="26"/>
      <c r="P99" s="26" t="e">
        <f aca="false">_xlfn.MAXIFS(#REF!,#REF!,$I97,#REF!,P$5)</f>
        <v>#VALUE!</v>
      </c>
      <c r="Q99" s="26" t="e">
        <f aca="false">_xlfn.MAXIFS(#REF!,#REF!,$I97,#REF!,Q$5)</f>
        <v>#VALUE!</v>
      </c>
      <c r="R99" s="26" t="e">
        <f aca="false">_xlfn.MAXIFS(#REF!,#REF!,$I97,#REF!,R$5)</f>
        <v>#VALUE!</v>
      </c>
    </row>
    <row r="100" customFormat="false" ht="13.8" hidden="false" customHeight="false" outlineLevel="0" collapsed="false">
      <c r="A100" s="1"/>
      <c r="L100" s="90"/>
    </row>
    <row r="101" customFormat="false" ht="13.8" hidden="false" customHeight="false" outlineLevel="0" collapsed="false">
      <c r="A101" s="1"/>
      <c r="C101" s="104" t="str">
        <f aca="false">"Phase "&amp;I101</f>
        <v>Phase 3</v>
      </c>
      <c r="G101" s="14" t="s">
        <v>215</v>
      </c>
      <c r="H101" s="15" t="s">
        <v>232</v>
      </c>
      <c r="I101" s="86" t="n">
        <f aca="false">I97+1</f>
        <v>3</v>
      </c>
      <c r="L101" s="90"/>
    </row>
    <row r="102" customFormat="false" ht="13.8" hidden="false" customHeight="false" outlineLevel="0" collapsed="false">
      <c r="A102" s="1"/>
      <c r="C102" s="1" t="s">
        <v>132</v>
      </c>
      <c r="K102" s="15" t="s">
        <v>25</v>
      </c>
      <c r="L102" s="12"/>
      <c r="M102" s="26" t="n">
        <f aca="false" t="array" ref="M102:M102">INDEX(M$57:M$64,$I101,)+1</f>
        <v>1</v>
      </c>
      <c r="N102" s="26" t="n">
        <f aca="false" t="array" ref="N102:N102">INDEX(N$57:N$64,$I101,)+1</f>
        <v>1</v>
      </c>
      <c r="O102" s="26"/>
      <c r="P102" s="26" t="n">
        <f aca="false" t="array" ref="P102:P102">INDEX(P$57:P$64,$I101,)+1</f>
        <v>1</v>
      </c>
      <c r="Q102" s="26" t="n">
        <f aca="false" t="array" ref="Q102:Q102">INDEX(Q$57:Q$64,$I101,)+1</f>
        <v>1</v>
      </c>
      <c r="R102" s="26" t="n">
        <f aca="false" t="array" ref="R102:R102">INDEX(R$57:R$64,$I101,)+1</f>
        <v>1</v>
      </c>
    </row>
    <row r="103" customFormat="false" ht="13.8" hidden="false" customHeight="false" outlineLevel="0" collapsed="false">
      <c r="A103" s="1"/>
      <c r="C103" s="1" t="s">
        <v>136</v>
      </c>
      <c r="K103" s="15" t="s">
        <v>25</v>
      </c>
      <c r="L103" s="12"/>
      <c r="M103" s="26" t="e">
        <f aca="false">_xlfn.MAXIFS(#REF!,#REF!,$I101,#REF!,M$5)</f>
        <v>#VALUE!</v>
      </c>
      <c r="N103" s="26" t="e">
        <f aca="false">_xlfn.MAXIFS(#REF!,#REF!,$I101,#REF!,N$5)</f>
        <v>#VALUE!</v>
      </c>
      <c r="O103" s="26"/>
      <c r="P103" s="26" t="e">
        <f aca="false">_xlfn.MAXIFS(#REF!,#REF!,$I101,#REF!,P$5)</f>
        <v>#VALUE!</v>
      </c>
      <c r="Q103" s="26" t="e">
        <f aca="false">_xlfn.MAXIFS(#REF!,#REF!,$I101,#REF!,Q$5)</f>
        <v>#VALUE!</v>
      </c>
      <c r="R103" s="26" t="e">
        <f aca="false">_xlfn.MAXIFS(#REF!,#REF!,$I101,#REF!,R$5)</f>
        <v>#VALUE!</v>
      </c>
    </row>
    <row r="104" customFormat="false" ht="13.8" hidden="false" customHeight="false" outlineLevel="0" collapsed="false">
      <c r="A104" s="1"/>
      <c r="L104" s="90"/>
    </row>
    <row r="105" customFormat="false" ht="13.8" hidden="false" customHeight="false" outlineLevel="0" collapsed="false">
      <c r="A105" s="1"/>
      <c r="C105" s="104" t="str">
        <f aca="false">"Phase "&amp;I105</f>
        <v>Phase 4</v>
      </c>
      <c r="G105" s="14" t="s">
        <v>215</v>
      </c>
      <c r="H105" s="15" t="s">
        <v>232</v>
      </c>
      <c r="I105" s="86" t="n">
        <f aca="false">I101+1</f>
        <v>4</v>
      </c>
      <c r="L105" s="90"/>
    </row>
    <row r="106" customFormat="false" ht="13.8" hidden="false" customHeight="false" outlineLevel="0" collapsed="false">
      <c r="A106" s="1"/>
      <c r="C106" s="1" t="s">
        <v>132</v>
      </c>
      <c r="K106" s="15" t="s">
        <v>25</v>
      </c>
      <c r="L106" s="12"/>
      <c r="M106" s="26" t="n">
        <f aca="false" t="array" ref="M106:M106">INDEX(M$57:M$64,$I105,)+1</f>
        <v>1</v>
      </c>
      <c r="N106" s="26" t="n">
        <f aca="false" t="array" ref="N106:N106">INDEX(N$57:N$64,$I105,)+1</f>
        <v>1</v>
      </c>
      <c r="O106" s="26"/>
      <c r="P106" s="26" t="n">
        <f aca="false" t="array" ref="P106:P106">INDEX(P$57:P$64,$I105,)+1</f>
        <v>1</v>
      </c>
      <c r="Q106" s="26" t="n">
        <f aca="false" t="array" ref="Q106:Q106">INDEX(Q$57:Q$64,$I105,)+1</f>
        <v>1</v>
      </c>
      <c r="R106" s="26" t="n">
        <f aca="false" t="array" ref="R106:R106">INDEX(R$57:R$64,$I105,)+1</f>
        <v>1</v>
      </c>
    </row>
    <row r="107" customFormat="false" ht="13.8" hidden="false" customHeight="false" outlineLevel="0" collapsed="false">
      <c r="A107" s="1"/>
      <c r="C107" s="1" t="s">
        <v>136</v>
      </c>
      <c r="K107" s="15" t="s">
        <v>25</v>
      </c>
      <c r="L107" s="12"/>
      <c r="M107" s="26" t="e">
        <f aca="false">_xlfn.MAXIFS(#REF!,#REF!,$I105,#REF!,M$5)</f>
        <v>#VALUE!</v>
      </c>
      <c r="N107" s="26" t="e">
        <f aca="false">_xlfn.MAXIFS(#REF!,#REF!,$I105,#REF!,N$5)</f>
        <v>#VALUE!</v>
      </c>
      <c r="O107" s="26"/>
      <c r="P107" s="26" t="e">
        <f aca="false">_xlfn.MAXIFS(#REF!,#REF!,$I105,#REF!,P$5)</f>
        <v>#VALUE!</v>
      </c>
      <c r="Q107" s="26" t="e">
        <f aca="false">_xlfn.MAXIFS(#REF!,#REF!,$I105,#REF!,Q$5)</f>
        <v>#VALUE!</v>
      </c>
      <c r="R107" s="26" t="e">
        <f aca="false">_xlfn.MAXIFS(#REF!,#REF!,$I105,#REF!,R$5)</f>
        <v>#VALUE!</v>
      </c>
    </row>
    <row r="108" customFormat="false" ht="13.8" hidden="false" customHeight="false" outlineLevel="0" collapsed="false">
      <c r="A108" s="1"/>
      <c r="L108" s="90"/>
    </row>
    <row r="109" customFormat="false" ht="13.8" hidden="false" customHeight="false" outlineLevel="0" collapsed="false">
      <c r="A109" s="1"/>
      <c r="C109" s="104" t="str">
        <f aca="false">"Phase "&amp;I109</f>
        <v>Phase 5</v>
      </c>
      <c r="G109" s="14" t="s">
        <v>215</v>
      </c>
      <c r="H109" s="15" t="s">
        <v>232</v>
      </c>
      <c r="I109" s="86" t="n">
        <f aca="false">I105+1</f>
        <v>5</v>
      </c>
      <c r="L109" s="90"/>
    </row>
    <row r="110" customFormat="false" ht="13.8" hidden="false" customHeight="false" outlineLevel="0" collapsed="false">
      <c r="A110" s="1"/>
      <c r="C110" s="1" t="s">
        <v>132</v>
      </c>
      <c r="K110" s="15" t="s">
        <v>25</v>
      </c>
      <c r="L110" s="12"/>
      <c r="M110" s="26" t="n">
        <f aca="false" t="array" ref="M110:M110">INDEX(M$57:M$64,$I109,)+1</f>
        <v>1</v>
      </c>
      <c r="N110" s="26" t="n">
        <f aca="false" t="array" ref="N110:N110">INDEX(N$57:N$64,$I109,)+1</f>
        <v>1</v>
      </c>
      <c r="O110" s="26"/>
      <c r="P110" s="26" t="n">
        <f aca="false" t="array" ref="P110:P110">INDEX(P$57:P$64,$I109,)+1</f>
        <v>1</v>
      </c>
      <c r="Q110" s="26" t="n">
        <f aca="false" t="array" ref="Q110:Q110">INDEX(Q$57:Q$64,$I109,)+1</f>
        <v>1</v>
      </c>
      <c r="R110" s="26" t="n">
        <f aca="false" t="array" ref="R110:R110">INDEX(R$57:R$64,$I109,)+1</f>
        <v>1</v>
      </c>
    </row>
    <row r="111" customFormat="false" ht="13.8" hidden="false" customHeight="false" outlineLevel="0" collapsed="false">
      <c r="A111" s="1"/>
      <c r="C111" s="1" t="s">
        <v>136</v>
      </c>
      <c r="K111" s="15" t="s">
        <v>25</v>
      </c>
      <c r="L111" s="12"/>
      <c r="M111" s="26" t="e">
        <f aca="false">_xlfn.MAXIFS(#REF!,#REF!,$I109,#REF!,M$5)</f>
        <v>#VALUE!</v>
      </c>
      <c r="N111" s="26" t="e">
        <f aca="false">_xlfn.MAXIFS(#REF!,#REF!,$I109,#REF!,N$5)</f>
        <v>#VALUE!</v>
      </c>
      <c r="O111" s="26"/>
      <c r="P111" s="26" t="e">
        <f aca="false">_xlfn.MAXIFS(#REF!,#REF!,$I109,#REF!,P$5)</f>
        <v>#VALUE!</v>
      </c>
      <c r="Q111" s="26" t="e">
        <f aca="false">_xlfn.MAXIFS(#REF!,#REF!,$I109,#REF!,Q$5)</f>
        <v>#VALUE!</v>
      </c>
      <c r="R111" s="26" t="e">
        <f aca="false">_xlfn.MAXIFS(#REF!,#REF!,$I109,#REF!,R$5)</f>
        <v>#VALUE!</v>
      </c>
    </row>
    <row r="112" customFormat="false" ht="13.8" hidden="false" customHeight="false" outlineLevel="0" collapsed="false">
      <c r="A112" s="1"/>
      <c r="L112" s="90"/>
    </row>
    <row r="113" customFormat="false" ht="13.8" hidden="false" customHeight="false" outlineLevel="0" collapsed="false">
      <c r="A113" s="1"/>
      <c r="C113" s="104" t="str">
        <f aca="false">"Phase "&amp;I113</f>
        <v>Phase 6</v>
      </c>
      <c r="G113" s="14" t="s">
        <v>215</v>
      </c>
      <c r="H113" s="15" t="s">
        <v>232</v>
      </c>
      <c r="I113" s="86" t="n">
        <f aca="false">I109+1</f>
        <v>6</v>
      </c>
      <c r="L113" s="90"/>
    </row>
    <row r="114" customFormat="false" ht="13.8" hidden="false" customHeight="false" outlineLevel="0" collapsed="false">
      <c r="A114" s="1"/>
      <c r="C114" s="1" t="s">
        <v>132</v>
      </c>
      <c r="K114" s="15" t="s">
        <v>25</v>
      </c>
      <c r="L114" s="12"/>
      <c r="M114" s="26" t="n">
        <f aca="false" t="array" ref="M114:M114">INDEX(M$57:M$64,$I113,)+1</f>
        <v>1</v>
      </c>
      <c r="N114" s="26" t="n">
        <f aca="false" t="array" ref="N114:N114">INDEX(N$57:N$64,$I113,)+1</f>
        <v>1</v>
      </c>
      <c r="O114" s="26"/>
      <c r="P114" s="26" t="n">
        <f aca="false" t="array" ref="P114:P114">INDEX(P$57:P$64,$I113,)+1</f>
        <v>1</v>
      </c>
      <c r="Q114" s="26" t="n">
        <f aca="false" t="array" ref="Q114:Q114">INDEX(Q$57:Q$64,$I113,)+1</f>
        <v>1</v>
      </c>
      <c r="R114" s="26" t="n">
        <f aca="false" t="array" ref="R114:R114">INDEX(R$57:R$64,$I113,)+1</f>
        <v>1</v>
      </c>
    </row>
    <row r="115" customFormat="false" ht="13.8" hidden="false" customHeight="false" outlineLevel="0" collapsed="false">
      <c r="A115" s="1"/>
      <c r="C115" s="1" t="s">
        <v>136</v>
      </c>
      <c r="K115" s="15" t="s">
        <v>25</v>
      </c>
      <c r="L115" s="12"/>
      <c r="M115" s="26" t="e">
        <f aca="false">_xlfn.MAXIFS(#REF!,#REF!,$I113,#REF!,M$5)</f>
        <v>#VALUE!</v>
      </c>
      <c r="N115" s="26" t="e">
        <f aca="false">_xlfn.MAXIFS(#REF!,#REF!,$I113,#REF!,N$5)</f>
        <v>#VALUE!</v>
      </c>
      <c r="O115" s="26"/>
      <c r="P115" s="26" t="e">
        <f aca="false">_xlfn.MAXIFS(#REF!,#REF!,$I113,#REF!,P$5)</f>
        <v>#VALUE!</v>
      </c>
      <c r="Q115" s="26" t="e">
        <f aca="false">_xlfn.MAXIFS(#REF!,#REF!,$I113,#REF!,Q$5)</f>
        <v>#VALUE!</v>
      </c>
      <c r="R115" s="26" t="e">
        <f aca="false">_xlfn.MAXIFS(#REF!,#REF!,$I113,#REF!,R$5)</f>
        <v>#VALUE!</v>
      </c>
    </row>
    <row r="116" customFormat="false" ht="13.8" hidden="false" customHeight="false" outlineLevel="0" collapsed="false">
      <c r="A116" s="1"/>
      <c r="L116" s="90"/>
    </row>
    <row r="117" customFormat="false" ht="13.8" hidden="false" customHeight="false" outlineLevel="0" collapsed="false">
      <c r="A117" s="1"/>
      <c r="C117" s="104" t="str">
        <f aca="false">"Phase "&amp;I117</f>
        <v>Phase 7</v>
      </c>
      <c r="G117" s="14" t="s">
        <v>215</v>
      </c>
      <c r="H117" s="15" t="s">
        <v>232</v>
      </c>
      <c r="I117" s="86" t="n">
        <f aca="false">I113+1</f>
        <v>7</v>
      </c>
      <c r="L117" s="90"/>
    </row>
    <row r="118" customFormat="false" ht="13.8" hidden="false" customHeight="false" outlineLevel="0" collapsed="false">
      <c r="A118" s="1"/>
      <c r="C118" s="1" t="s">
        <v>132</v>
      </c>
      <c r="K118" s="15" t="s">
        <v>25</v>
      </c>
      <c r="L118" s="12"/>
      <c r="M118" s="26" t="n">
        <f aca="false" t="array" ref="M118:M118">INDEX(M$57:M$64,$I117,)+1</f>
        <v>1</v>
      </c>
      <c r="N118" s="26" t="n">
        <f aca="false" t="array" ref="N118:N118">INDEX(N$57:N$64,$I117,)+1</f>
        <v>1</v>
      </c>
      <c r="O118" s="26"/>
      <c r="P118" s="26" t="n">
        <f aca="false" t="array" ref="P118:P118">INDEX(P$57:P$64,$I117,)+1</f>
        <v>1</v>
      </c>
      <c r="Q118" s="26" t="n">
        <f aca="false" t="array" ref="Q118:Q118">INDEX(Q$57:Q$64,$I117,)+1</f>
        <v>1</v>
      </c>
      <c r="R118" s="26" t="n">
        <f aca="false" t="array" ref="R118:R118">INDEX(R$57:R$64,$I117,)+1</f>
        <v>1</v>
      </c>
    </row>
    <row r="119" customFormat="false" ht="13.8" hidden="false" customHeight="false" outlineLevel="0" collapsed="false">
      <c r="A119" s="1"/>
      <c r="C119" s="1" t="s">
        <v>136</v>
      </c>
      <c r="K119" s="15" t="s">
        <v>25</v>
      </c>
      <c r="L119" s="12"/>
      <c r="M119" s="26" t="e">
        <f aca="false">_xlfn.MAXIFS(#REF!,#REF!,$I117,#REF!,M$5)</f>
        <v>#VALUE!</v>
      </c>
      <c r="N119" s="26" t="e">
        <f aca="false">_xlfn.MAXIFS(#REF!,#REF!,$I117,#REF!,N$5)</f>
        <v>#VALUE!</v>
      </c>
      <c r="O119" s="26"/>
      <c r="P119" s="26" t="e">
        <f aca="false">_xlfn.MAXIFS(#REF!,#REF!,$I117,#REF!,P$5)</f>
        <v>#VALUE!</v>
      </c>
      <c r="Q119" s="26" t="e">
        <f aca="false">_xlfn.MAXIFS(#REF!,#REF!,$I117,#REF!,Q$5)</f>
        <v>#VALUE!</v>
      </c>
      <c r="R119" s="26" t="e">
        <f aca="false">_xlfn.MAXIFS(#REF!,#REF!,$I117,#REF!,R$5)</f>
        <v>#VALUE!</v>
      </c>
    </row>
    <row r="120" customFormat="false" ht="13.8" hidden="false" customHeight="false" outlineLevel="0" collapsed="false">
      <c r="A120" s="1"/>
      <c r="L120" s="90"/>
    </row>
    <row r="121" customFormat="false" ht="13.8" hidden="false" customHeight="false" outlineLevel="0" collapsed="false">
      <c r="A121" s="1"/>
      <c r="C121" s="104" t="str">
        <f aca="false">"Phase "&amp;I121</f>
        <v>Phase 8</v>
      </c>
      <c r="G121" s="14" t="s">
        <v>215</v>
      </c>
      <c r="H121" s="15" t="s">
        <v>232</v>
      </c>
      <c r="I121" s="86" t="n">
        <f aca="false">I117+1</f>
        <v>8</v>
      </c>
      <c r="L121" s="90"/>
    </row>
    <row r="122" customFormat="false" ht="13.8" hidden="false" customHeight="false" outlineLevel="0" collapsed="false">
      <c r="A122" s="1"/>
      <c r="C122" s="1" t="s">
        <v>132</v>
      </c>
      <c r="K122" s="15" t="s">
        <v>25</v>
      </c>
      <c r="L122" s="12"/>
      <c r="M122" s="26" t="n">
        <f aca="false" t="array" ref="M122:M122">INDEX(M$57:M$64,$I121,)+1</f>
        <v>1</v>
      </c>
      <c r="N122" s="26" t="n">
        <f aca="false" t="array" ref="N122:N122">INDEX(N$57:N$64,$I121,)+1</f>
        <v>1</v>
      </c>
      <c r="O122" s="26"/>
      <c r="P122" s="26" t="n">
        <f aca="false" t="array" ref="P122:P122">INDEX(P$57:P$64,$I121,)+1</f>
        <v>1</v>
      </c>
      <c r="Q122" s="26" t="n">
        <f aca="false" t="array" ref="Q122:Q122">INDEX(Q$57:Q$64,$I121,)+1</f>
        <v>1</v>
      </c>
      <c r="R122" s="26" t="n">
        <f aca="false" t="array" ref="R122:R122">INDEX(R$57:R$64,$I121,)+1</f>
        <v>1</v>
      </c>
    </row>
    <row r="123" customFormat="false" ht="13.8" hidden="false" customHeight="false" outlineLevel="0" collapsed="false">
      <c r="A123" s="1"/>
      <c r="C123" s="1" t="s">
        <v>136</v>
      </c>
      <c r="K123" s="15" t="s">
        <v>25</v>
      </c>
      <c r="L123" s="12"/>
      <c r="M123" s="26" t="e">
        <f aca="false">_xlfn.MAXIFS(#REF!,#REF!,$I121,#REF!,M$5)</f>
        <v>#VALUE!</v>
      </c>
      <c r="N123" s="26" t="e">
        <f aca="false">_xlfn.MAXIFS(#REF!,#REF!,$I121,#REF!,N$5)</f>
        <v>#VALUE!</v>
      </c>
      <c r="O123" s="26"/>
      <c r="P123" s="26" t="e">
        <f aca="false">_xlfn.MAXIFS(#REF!,#REF!,$I121,#REF!,P$5)</f>
        <v>#VALUE!</v>
      </c>
      <c r="Q123" s="26" t="e">
        <f aca="false">_xlfn.MAXIFS(#REF!,#REF!,$I121,#REF!,Q$5)</f>
        <v>#VALUE!</v>
      </c>
      <c r="R123" s="26" t="e">
        <f aca="false">_xlfn.MAXIFS(#REF!,#REF!,$I121,#REF!,R$5)</f>
        <v>#VALUE!</v>
      </c>
    </row>
    <row r="124" customFormat="false" ht="13.8" hidden="false" customHeight="false" outlineLevel="0" collapsed="false">
      <c r="A124" s="1"/>
      <c r="L124" s="90"/>
    </row>
    <row r="125" customFormat="false" ht="13.8" hidden="false" customHeight="false" outlineLevel="0" collapsed="false">
      <c r="A125" s="1"/>
      <c r="B125" s="1"/>
      <c r="C125" s="14" t="s">
        <v>266</v>
      </c>
      <c r="D125" s="1"/>
      <c r="E125" s="1"/>
      <c r="J125" s="1"/>
      <c r="L125" s="90"/>
    </row>
    <row r="126" customFormat="false" ht="13.8" hidden="false" customHeight="false" outlineLevel="0" collapsed="false">
      <c r="A126" s="1"/>
      <c r="B126" s="1"/>
      <c r="C126" s="1" t="str">
        <f aca="false">"Credit Margin - phase "&amp;I126</f>
        <v>Credit Margin - phase 1</v>
      </c>
      <c r="D126" s="1"/>
      <c r="E126" s="1"/>
      <c r="F126" s="1"/>
      <c r="H126" s="15" t="s">
        <v>232</v>
      </c>
      <c r="I126" s="105" t="n">
        <v>1</v>
      </c>
      <c r="J126" s="1"/>
      <c r="K126" s="15" t="s">
        <v>33</v>
      </c>
      <c r="L126" s="12"/>
      <c r="M126" s="63"/>
      <c r="N126" s="63" t="n">
        <f aca="false">1.14%*40%+1.19%*60%</f>
        <v>0.0117</v>
      </c>
      <c r="O126" s="63"/>
      <c r="P126" s="63" t="n">
        <f aca="false">1.14%*40%+1.19%*60%</f>
        <v>0.0117</v>
      </c>
      <c r="Q126" s="63" t="n">
        <f aca="false">1.14%*40%+1.19%*60%</f>
        <v>0.0117</v>
      </c>
      <c r="R126" s="63" t="n">
        <f aca="false">1.14%*40%+1.19%*60%</f>
        <v>0.0117</v>
      </c>
    </row>
    <row r="127" customFormat="false" ht="13.8" hidden="false" customHeight="false" outlineLevel="0" collapsed="false">
      <c r="A127" s="1"/>
      <c r="B127" s="1"/>
      <c r="C127" s="1" t="str">
        <f aca="false">"Credit Margin - phase "&amp;I127</f>
        <v>Credit Margin - phase 2</v>
      </c>
      <c r="D127" s="1"/>
      <c r="E127" s="1"/>
      <c r="F127" s="1"/>
      <c r="H127" s="15" t="s">
        <v>232</v>
      </c>
      <c r="I127" s="86" t="n">
        <f aca="false">I126+1</f>
        <v>2</v>
      </c>
      <c r="J127" s="1"/>
      <c r="K127" s="15" t="s">
        <v>33</v>
      </c>
      <c r="L127" s="12"/>
      <c r="M127" s="63"/>
      <c r="N127" s="63"/>
      <c r="O127" s="63"/>
      <c r="P127" s="63"/>
      <c r="Q127" s="63"/>
      <c r="R127" s="63"/>
    </row>
    <row r="128" customFormat="false" ht="13.8" hidden="false" customHeight="false" outlineLevel="0" collapsed="false">
      <c r="A128" s="1"/>
      <c r="B128" s="1"/>
      <c r="C128" s="1" t="str">
        <f aca="false">"Credit Margin - phase "&amp;I128</f>
        <v>Credit Margin - phase 3</v>
      </c>
      <c r="D128" s="1"/>
      <c r="E128" s="1"/>
      <c r="F128" s="1"/>
      <c r="H128" s="15" t="s">
        <v>232</v>
      </c>
      <c r="I128" s="86" t="n">
        <f aca="false">I127+1</f>
        <v>3</v>
      </c>
      <c r="J128" s="1"/>
      <c r="K128" s="15" t="s">
        <v>33</v>
      </c>
      <c r="L128" s="12"/>
      <c r="M128" s="63"/>
      <c r="N128" s="63"/>
      <c r="O128" s="63"/>
      <c r="P128" s="63"/>
      <c r="Q128" s="63"/>
      <c r="R128" s="63"/>
    </row>
    <row r="129" customFormat="false" ht="13.8" hidden="false" customHeight="false" outlineLevel="0" collapsed="false">
      <c r="A129" s="1"/>
      <c r="B129" s="1"/>
      <c r="C129" s="1" t="str">
        <f aca="false">"Credit Margin - phase "&amp;I129</f>
        <v>Credit Margin - phase 4</v>
      </c>
      <c r="D129" s="1"/>
      <c r="E129" s="1"/>
      <c r="F129" s="1"/>
      <c r="H129" s="15" t="s">
        <v>232</v>
      </c>
      <c r="I129" s="86" t="n">
        <f aca="false">I128+1</f>
        <v>4</v>
      </c>
      <c r="J129" s="1"/>
      <c r="K129" s="15" t="s">
        <v>33</v>
      </c>
      <c r="L129" s="12"/>
      <c r="M129" s="63"/>
      <c r="N129" s="63"/>
      <c r="O129" s="63"/>
      <c r="P129" s="63"/>
      <c r="Q129" s="63"/>
      <c r="R129" s="63"/>
    </row>
    <row r="130" customFormat="false" ht="13.8" hidden="false" customHeight="false" outlineLevel="0" collapsed="false">
      <c r="A130" s="1"/>
      <c r="B130" s="1"/>
      <c r="C130" s="1" t="str">
        <f aca="false">"Credit Margin - phase "&amp;I130</f>
        <v>Credit Margin - phase 5</v>
      </c>
      <c r="D130" s="1"/>
      <c r="E130" s="1"/>
      <c r="F130" s="1"/>
      <c r="H130" s="15" t="s">
        <v>232</v>
      </c>
      <c r="I130" s="86" t="n">
        <f aca="false">I129+1</f>
        <v>5</v>
      </c>
      <c r="J130" s="1"/>
      <c r="K130" s="15" t="s">
        <v>33</v>
      </c>
      <c r="L130" s="12"/>
      <c r="M130" s="63"/>
      <c r="N130" s="63"/>
      <c r="O130" s="63"/>
      <c r="P130" s="63"/>
      <c r="Q130" s="63"/>
      <c r="R130" s="63"/>
    </row>
    <row r="131" customFormat="false" ht="13.8" hidden="false" customHeight="false" outlineLevel="0" collapsed="false">
      <c r="A131" s="1"/>
      <c r="B131" s="1"/>
      <c r="C131" s="1" t="str">
        <f aca="false">"Credit Margin - phase "&amp;I131</f>
        <v>Credit Margin - phase 6</v>
      </c>
      <c r="D131" s="1"/>
      <c r="E131" s="1"/>
      <c r="F131" s="1"/>
      <c r="H131" s="15" t="s">
        <v>232</v>
      </c>
      <c r="I131" s="86" t="n">
        <f aca="false">I130+1</f>
        <v>6</v>
      </c>
      <c r="J131" s="1"/>
      <c r="K131" s="15" t="s">
        <v>33</v>
      </c>
      <c r="L131" s="12"/>
      <c r="M131" s="63"/>
      <c r="N131" s="63"/>
      <c r="O131" s="63"/>
      <c r="P131" s="63"/>
      <c r="Q131" s="63"/>
      <c r="R131" s="63"/>
    </row>
    <row r="132" customFormat="false" ht="13.8" hidden="false" customHeight="false" outlineLevel="0" collapsed="false">
      <c r="A132" s="1"/>
      <c r="B132" s="1"/>
      <c r="C132" s="1" t="str">
        <f aca="false">"Credit Margin - phase "&amp;I132</f>
        <v>Credit Margin - phase 7</v>
      </c>
      <c r="D132" s="1"/>
      <c r="E132" s="1"/>
      <c r="F132" s="1"/>
      <c r="H132" s="15" t="s">
        <v>232</v>
      </c>
      <c r="I132" s="86" t="n">
        <f aca="false">I131+1</f>
        <v>7</v>
      </c>
      <c r="J132" s="1"/>
      <c r="K132" s="15" t="s">
        <v>33</v>
      </c>
      <c r="L132" s="12"/>
      <c r="M132" s="63"/>
      <c r="N132" s="63"/>
      <c r="O132" s="63"/>
      <c r="P132" s="63"/>
      <c r="Q132" s="63"/>
      <c r="R132" s="63"/>
    </row>
    <row r="133" customFormat="false" ht="13.8" hidden="false" customHeight="false" outlineLevel="0" collapsed="false">
      <c r="A133" s="1"/>
      <c r="B133" s="1"/>
      <c r="C133" s="1" t="str">
        <f aca="false">"Credit Margin - phase "&amp;I133</f>
        <v>Credit Margin - phase 8</v>
      </c>
      <c r="D133" s="1"/>
      <c r="E133" s="1"/>
      <c r="F133" s="1"/>
      <c r="H133" s="15" t="s">
        <v>232</v>
      </c>
      <c r="I133" s="86" t="n">
        <f aca="false">I132+1</f>
        <v>8</v>
      </c>
      <c r="J133" s="1"/>
      <c r="K133" s="15" t="s">
        <v>33</v>
      </c>
      <c r="L133" s="12"/>
      <c r="M133" s="63"/>
      <c r="N133" s="63"/>
      <c r="O133" s="63"/>
      <c r="P133" s="63"/>
      <c r="Q133" s="63"/>
      <c r="R133" s="63"/>
    </row>
    <row r="134" customFormat="false" ht="13.8" hidden="false" customHeight="false" outlineLevel="0" collapsed="false">
      <c r="A134" s="1"/>
      <c r="B134" s="1"/>
      <c r="C134" s="1" t="s">
        <v>267</v>
      </c>
      <c r="D134" s="1"/>
      <c r="E134" s="1"/>
      <c r="F134" s="1"/>
      <c r="I134" s="1"/>
      <c r="J134" s="1"/>
      <c r="K134" s="15" t="s">
        <v>80</v>
      </c>
      <c r="L134" s="12"/>
      <c r="M134" s="63"/>
      <c r="N134" s="63" t="s">
        <v>268</v>
      </c>
      <c r="O134" s="63"/>
      <c r="P134" s="63" t="s">
        <v>268</v>
      </c>
      <c r="Q134" s="63" t="s">
        <v>268</v>
      </c>
      <c r="R134" s="63" t="s">
        <v>268</v>
      </c>
    </row>
    <row r="135" customFormat="false" ht="13.8" hidden="false" customHeight="false" outlineLevel="0" collapsed="false">
      <c r="A135" s="1"/>
      <c r="B135" s="1"/>
      <c r="C135" s="1" t="s">
        <v>269</v>
      </c>
      <c r="D135" s="1"/>
      <c r="E135" s="1"/>
      <c r="F135" s="1"/>
      <c r="I135" s="1"/>
      <c r="J135" s="1"/>
      <c r="K135" s="15" t="s">
        <v>80</v>
      </c>
      <c r="L135" s="12"/>
      <c r="M135" s="63"/>
      <c r="N135" s="63" t="s">
        <v>268</v>
      </c>
      <c r="O135" s="63"/>
      <c r="P135" s="63" t="s">
        <v>268</v>
      </c>
      <c r="Q135" s="63" t="s">
        <v>268</v>
      </c>
      <c r="R135" s="63" t="s">
        <v>268</v>
      </c>
    </row>
    <row r="136" customFormat="false" ht="13.8" hidden="false" customHeight="false" outlineLevel="0" collapsed="false">
      <c r="C136" s="1" t="s">
        <v>270</v>
      </c>
      <c r="K136" s="15" t="s">
        <v>80</v>
      </c>
      <c r="L136" s="90"/>
      <c r="M136" s="94"/>
      <c r="N136" s="94" t="n">
        <v>360</v>
      </c>
      <c r="O136" s="94"/>
      <c r="P136" s="94" t="n">
        <v>360</v>
      </c>
      <c r="Q136" s="94" t="n">
        <v>360</v>
      </c>
      <c r="R136" s="94" t="n">
        <v>360</v>
      </c>
    </row>
    <row r="137" customFormat="false" ht="13.8" hidden="false" customHeight="false" outlineLevel="0" collapsed="false">
      <c r="A137" s="1"/>
      <c r="B137" s="1"/>
      <c r="C137" s="1" t="s">
        <v>271</v>
      </c>
      <c r="D137" s="1"/>
      <c r="E137" s="1"/>
      <c r="F137" s="1"/>
      <c r="I137" s="1"/>
      <c r="J137" s="1"/>
      <c r="K137" s="15" t="s">
        <v>80</v>
      </c>
      <c r="L137" s="12"/>
      <c r="M137" s="63"/>
      <c r="N137" s="63" t="s">
        <v>272</v>
      </c>
      <c r="O137" s="63"/>
      <c r="P137" s="63" t="s">
        <v>272</v>
      </c>
      <c r="Q137" s="63" t="s">
        <v>272</v>
      </c>
      <c r="R137" s="63" t="s">
        <v>272</v>
      </c>
    </row>
    <row r="138" customFormat="false" ht="13.8" hidden="false" customHeight="false" outlineLevel="0" collapsed="false">
      <c r="A138" s="1"/>
      <c r="L138" s="90"/>
    </row>
    <row r="139" customFormat="false" ht="13.8" hidden="false" customHeight="false" outlineLevel="0" collapsed="false">
      <c r="A139" s="1"/>
      <c r="C139" s="14" t="s">
        <v>273</v>
      </c>
      <c r="L139" s="90"/>
    </row>
    <row r="140" customFormat="false" ht="14.9" hidden="false" customHeight="false" outlineLevel="0" collapsed="false">
      <c r="A140" s="1"/>
      <c r="C140" s="1" t="s">
        <v>274</v>
      </c>
      <c r="K140" s="15" t="s">
        <v>109</v>
      </c>
      <c r="L140" s="12"/>
      <c r="M140" s="63"/>
      <c r="N140" s="63" t="b">
        <f aca="false">TRUE()</f>
        <v>1</v>
      </c>
      <c r="O140" s="63"/>
      <c r="P140" s="63" t="b">
        <f aca="false">TRUE()</f>
        <v>1</v>
      </c>
      <c r="Q140" s="63" t="b">
        <f aca="false">TRUE()</f>
        <v>1</v>
      </c>
      <c r="R140" s="63" t="b">
        <f aca="false">TRUE()</f>
        <v>1</v>
      </c>
    </row>
    <row r="141" customFormat="false" ht="13.8" hidden="false" customHeight="false" outlineLevel="0" collapsed="false">
      <c r="A141" s="1"/>
      <c r="B141" s="1"/>
      <c r="C141" s="1" t="str">
        <f aca="false">"Swap rate - phase "&amp;I57</f>
        <v>Swap rate - phase 1</v>
      </c>
      <c r="D141" s="1"/>
      <c r="E141" s="1"/>
      <c r="F141" s="1"/>
      <c r="I141" s="1"/>
      <c r="J141" s="1"/>
      <c r="K141" s="15" t="s">
        <v>33</v>
      </c>
      <c r="L141" s="12"/>
      <c r="M141" s="63"/>
      <c r="N141" s="63" t="n">
        <v>0.025</v>
      </c>
      <c r="O141" s="63"/>
      <c r="P141" s="63" t="n">
        <v>0.025</v>
      </c>
      <c r="Q141" s="63" t="n">
        <v>0.025</v>
      </c>
      <c r="R141" s="63" t="n">
        <v>0.025</v>
      </c>
    </row>
    <row r="142" customFormat="false" ht="13.8" hidden="false" customHeight="false" outlineLevel="0" collapsed="false">
      <c r="A142" s="1"/>
      <c r="B142" s="1"/>
      <c r="C142" s="1" t="str">
        <f aca="false">"Swap rate - phase "&amp;I58</f>
        <v>Swap rate - phase 2</v>
      </c>
      <c r="D142" s="1"/>
      <c r="E142" s="1"/>
      <c r="F142" s="1"/>
      <c r="I142" s="1"/>
      <c r="J142" s="1"/>
      <c r="K142" s="15" t="s">
        <v>33</v>
      </c>
      <c r="L142" s="12"/>
      <c r="M142" s="63"/>
      <c r="N142" s="63"/>
      <c r="O142" s="63"/>
      <c r="P142" s="63"/>
      <c r="Q142" s="63"/>
      <c r="R142" s="63"/>
    </row>
    <row r="143" customFormat="false" ht="13.8" hidden="false" customHeight="false" outlineLevel="0" collapsed="false">
      <c r="A143" s="1"/>
      <c r="B143" s="1"/>
      <c r="C143" s="1" t="str">
        <f aca="false">"Swap rate - phase "&amp;I59</f>
        <v>Swap rate - phase 3</v>
      </c>
      <c r="D143" s="1"/>
      <c r="E143" s="1"/>
      <c r="F143" s="1"/>
      <c r="I143" s="1"/>
      <c r="J143" s="1"/>
      <c r="K143" s="15" t="s">
        <v>33</v>
      </c>
      <c r="L143" s="12"/>
      <c r="M143" s="63"/>
      <c r="N143" s="63"/>
      <c r="O143" s="63"/>
      <c r="P143" s="63"/>
      <c r="Q143" s="63"/>
      <c r="R143" s="63"/>
    </row>
    <row r="144" customFormat="false" ht="13.8" hidden="false" customHeight="false" outlineLevel="0" collapsed="false">
      <c r="A144" s="1"/>
      <c r="B144" s="1"/>
      <c r="C144" s="1" t="str">
        <f aca="false">"Swap rate - phase "&amp;I60</f>
        <v>Swap rate - phase 4</v>
      </c>
      <c r="D144" s="1"/>
      <c r="E144" s="1"/>
      <c r="F144" s="1"/>
      <c r="I144" s="1"/>
      <c r="J144" s="1"/>
      <c r="K144" s="15" t="s">
        <v>33</v>
      </c>
      <c r="L144" s="12"/>
      <c r="M144" s="63"/>
      <c r="N144" s="63"/>
      <c r="O144" s="63"/>
      <c r="P144" s="63"/>
      <c r="Q144" s="63"/>
      <c r="R144" s="63"/>
    </row>
    <row r="145" customFormat="false" ht="13.8" hidden="false" customHeight="false" outlineLevel="0" collapsed="false">
      <c r="A145" s="1"/>
      <c r="B145" s="1"/>
      <c r="C145" s="1" t="str">
        <f aca="false">"Swap rate - phase "&amp;I61</f>
        <v>Swap rate - phase 5</v>
      </c>
      <c r="D145" s="1"/>
      <c r="E145" s="1"/>
      <c r="F145" s="1"/>
      <c r="I145" s="1"/>
      <c r="J145" s="1"/>
      <c r="K145" s="15" t="s">
        <v>33</v>
      </c>
      <c r="L145" s="12"/>
      <c r="M145" s="63"/>
      <c r="N145" s="63"/>
      <c r="O145" s="63"/>
      <c r="P145" s="63"/>
      <c r="Q145" s="63"/>
      <c r="R145" s="63"/>
    </row>
    <row r="146" customFormat="false" ht="13.8" hidden="false" customHeight="false" outlineLevel="0" collapsed="false">
      <c r="A146" s="1"/>
      <c r="B146" s="1"/>
      <c r="C146" s="1" t="str">
        <f aca="false">"Swap rate - phase "&amp;I62</f>
        <v>Swap rate - phase 6</v>
      </c>
      <c r="D146" s="1"/>
      <c r="E146" s="1"/>
      <c r="F146" s="1"/>
      <c r="I146" s="1"/>
      <c r="J146" s="1"/>
      <c r="K146" s="15" t="s">
        <v>33</v>
      </c>
      <c r="L146" s="12"/>
      <c r="M146" s="63"/>
      <c r="N146" s="63"/>
      <c r="O146" s="63"/>
      <c r="P146" s="63"/>
      <c r="Q146" s="63"/>
      <c r="R146" s="63"/>
    </row>
    <row r="147" customFormat="false" ht="13.8" hidden="false" customHeight="false" outlineLevel="0" collapsed="false">
      <c r="A147" s="1"/>
      <c r="B147" s="1"/>
      <c r="C147" s="1" t="str">
        <f aca="false">"Swap rate - phase "&amp;I63</f>
        <v>Swap rate - phase 7</v>
      </c>
      <c r="D147" s="1"/>
      <c r="E147" s="1"/>
      <c r="F147" s="1"/>
      <c r="I147" s="1"/>
      <c r="J147" s="1"/>
      <c r="K147" s="15" t="s">
        <v>33</v>
      </c>
      <c r="L147" s="12"/>
      <c r="M147" s="63"/>
      <c r="N147" s="63"/>
      <c r="O147" s="63"/>
      <c r="P147" s="63"/>
      <c r="Q147" s="63"/>
      <c r="R147" s="63"/>
    </row>
    <row r="148" customFormat="false" ht="13.8" hidden="false" customHeight="false" outlineLevel="0" collapsed="false">
      <c r="A148" s="1"/>
      <c r="B148" s="1"/>
      <c r="C148" s="1" t="str">
        <f aca="false">"Swap rate - phase "&amp;I64</f>
        <v>Swap rate - phase 8</v>
      </c>
      <c r="D148" s="1"/>
      <c r="E148" s="1"/>
      <c r="F148" s="1"/>
      <c r="I148" s="1"/>
      <c r="J148" s="1"/>
      <c r="K148" s="15" t="s">
        <v>33</v>
      </c>
      <c r="L148" s="12"/>
      <c r="M148" s="63"/>
      <c r="N148" s="63"/>
      <c r="O148" s="63"/>
      <c r="P148" s="63"/>
      <c r="Q148" s="63"/>
      <c r="R148" s="63"/>
    </row>
    <row r="149" customFormat="false" ht="13.8" hidden="false" customHeight="false" outlineLevel="0" collapsed="false">
      <c r="A149" s="1"/>
      <c r="B149" s="1"/>
      <c r="C149" s="1" t="s">
        <v>275</v>
      </c>
      <c r="D149" s="1"/>
      <c r="E149" s="1"/>
      <c r="F149" s="1"/>
      <c r="I149" s="1"/>
      <c r="J149" s="1"/>
      <c r="K149" s="15" t="s">
        <v>33</v>
      </c>
      <c r="L149" s="12"/>
      <c r="M149" s="18" t="n">
        <f aca="false">IF(SUM(M141:M148)&lt;&gt;0,AVERAGE(M141:M148),0)</f>
        <v>0</v>
      </c>
      <c r="N149" s="18" t="n">
        <f aca="false">IF(SUM(N141:N148)&lt;&gt;0,AVERAGE(N141:N148),0)</f>
        <v>0.025</v>
      </c>
      <c r="O149" s="18"/>
      <c r="P149" s="18" t="n">
        <f aca="false">IF(SUM(P141:P148)&lt;&gt;0,AVERAGE(P141:P148),0)</f>
        <v>0.025</v>
      </c>
      <c r="Q149" s="18" t="n">
        <f aca="false">IF(SUM(Q141:Q148)&lt;&gt;0,AVERAGE(Q141:Q148),0)</f>
        <v>0.025</v>
      </c>
      <c r="R149" s="18" t="n">
        <f aca="false">IF(SUM(R141:R148)&lt;&gt;0,AVERAGE(R141:R148),0)</f>
        <v>0.025</v>
      </c>
    </row>
    <row r="150" customFormat="false" ht="13.8" hidden="false" customHeight="false" outlineLevel="0" collapsed="false">
      <c r="A150" s="1"/>
      <c r="B150" s="1"/>
      <c r="C150" s="1" t="s">
        <v>276</v>
      </c>
      <c r="D150" s="1"/>
      <c r="E150" s="1"/>
      <c r="F150" s="1"/>
      <c r="I150" s="1"/>
      <c r="J150" s="1"/>
      <c r="K150" s="15" t="s">
        <v>33</v>
      </c>
      <c r="L150" s="12"/>
      <c r="M150" s="63"/>
      <c r="N150" s="63" t="n">
        <f aca="false">0.1175%*60%+0.11%*40%</f>
        <v>0.001145</v>
      </c>
      <c r="O150" s="63"/>
      <c r="P150" s="63" t="n">
        <f aca="false">0.1175%*60%+0.11%*40%</f>
        <v>0.001145</v>
      </c>
      <c r="Q150" s="63" t="n">
        <f aca="false">0.1175%*60%+0.11%*40%</f>
        <v>0.001145</v>
      </c>
      <c r="R150" s="63" t="n">
        <f aca="false">0.1175%*60%+0.11%*40%</f>
        <v>0.001145</v>
      </c>
    </row>
    <row r="151" customFormat="false" ht="13.8" hidden="false" customHeight="false" outlineLevel="0" collapsed="false">
      <c r="A151" s="1"/>
      <c r="B151" s="1"/>
      <c r="C151" s="1" t="s">
        <v>277</v>
      </c>
      <c r="D151" s="1"/>
      <c r="E151" s="1"/>
      <c r="F151" s="1"/>
      <c r="I151" s="1"/>
      <c r="J151" s="1"/>
      <c r="K151" s="15" t="s">
        <v>33</v>
      </c>
      <c r="L151" s="12"/>
      <c r="M151" s="18" t="n">
        <f aca="false">M149+M150</f>
        <v>0</v>
      </c>
      <c r="N151" s="18" t="n">
        <f aca="false">N149+N150</f>
        <v>0.026145</v>
      </c>
      <c r="O151" s="18"/>
      <c r="P151" s="18" t="n">
        <f aca="false">P149+P150</f>
        <v>0.026145</v>
      </c>
      <c r="Q151" s="18" t="n">
        <f aca="false">Q149+Q150</f>
        <v>0.026145</v>
      </c>
      <c r="R151" s="18" t="n">
        <f aca="false">R149+R150</f>
        <v>0.026145</v>
      </c>
    </row>
    <row r="152" customFormat="false" ht="13.8" hidden="false" customHeight="false" outlineLevel="0" collapsed="false">
      <c r="A152" s="1"/>
      <c r="B152" s="1"/>
      <c r="C152" s="1" t="str">
        <f aca="false">"Hedging portion - phase "&amp;I57</f>
        <v>Hedging portion - phase 1</v>
      </c>
      <c r="D152" s="1"/>
      <c r="E152" s="1"/>
      <c r="F152" s="1"/>
      <c r="I152" s="1"/>
      <c r="J152" s="1"/>
      <c r="K152" s="15" t="s">
        <v>33</v>
      </c>
      <c r="L152" s="12"/>
      <c r="M152" s="63"/>
      <c r="N152" s="63" t="n">
        <v>0.8</v>
      </c>
      <c r="O152" s="63"/>
      <c r="P152" s="63" t="n">
        <v>0.8</v>
      </c>
      <c r="Q152" s="63" t="n">
        <v>0.8</v>
      </c>
      <c r="R152" s="63" t="n">
        <v>0.8</v>
      </c>
    </row>
    <row r="153" customFormat="false" ht="13.8" hidden="false" customHeight="false" outlineLevel="0" collapsed="false">
      <c r="A153" s="1"/>
      <c r="B153" s="1"/>
      <c r="C153" s="1" t="str">
        <f aca="false">"Hedging portion - phase "&amp;I58</f>
        <v>Hedging portion - phase 2</v>
      </c>
      <c r="D153" s="1"/>
      <c r="E153" s="1"/>
      <c r="F153" s="1"/>
      <c r="I153" s="1"/>
      <c r="J153" s="1"/>
      <c r="K153" s="15" t="s">
        <v>33</v>
      </c>
      <c r="L153" s="12"/>
      <c r="M153" s="63"/>
      <c r="N153" s="63"/>
      <c r="O153" s="63"/>
      <c r="P153" s="63"/>
      <c r="Q153" s="63"/>
      <c r="R153" s="63"/>
    </row>
    <row r="154" customFormat="false" ht="13.8" hidden="false" customHeight="false" outlineLevel="0" collapsed="false">
      <c r="A154" s="1"/>
      <c r="B154" s="1"/>
      <c r="C154" s="1" t="str">
        <f aca="false">"Hedging portion - phase "&amp;I59</f>
        <v>Hedging portion - phase 3</v>
      </c>
      <c r="D154" s="1"/>
      <c r="E154" s="1"/>
      <c r="F154" s="1"/>
      <c r="I154" s="1"/>
      <c r="J154" s="1"/>
      <c r="K154" s="15" t="s">
        <v>33</v>
      </c>
      <c r="L154" s="12"/>
      <c r="M154" s="63"/>
      <c r="N154" s="63"/>
      <c r="O154" s="63"/>
      <c r="P154" s="63"/>
      <c r="Q154" s="63"/>
      <c r="R154" s="63"/>
    </row>
    <row r="155" customFormat="false" ht="13.8" hidden="false" customHeight="false" outlineLevel="0" collapsed="false">
      <c r="A155" s="1"/>
      <c r="B155" s="1"/>
      <c r="C155" s="1" t="str">
        <f aca="false">"Hedging portion - phase "&amp;I60</f>
        <v>Hedging portion - phase 4</v>
      </c>
      <c r="D155" s="1"/>
      <c r="E155" s="1"/>
      <c r="F155" s="1"/>
      <c r="I155" s="1"/>
      <c r="J155" s="1"/>
      <c r="K155" s="15" t="s">
        <v>33</v>
      </c>
      <c r="L155" s="12"/>
      <c r="M155" s="63"/>
      <c r="N155" s="63"/>
      <c r="O155" s="63"/>
      <c r="P155" s="63"/>
      <c r="Q155" s="63"/>
      <c r="R155" s="63"/>
    </row>
    <row r="156" customFormat="false" ht="13.8" hidden="false" customHeight="false" outlineLevel="0" collapsed="false">
      <c r="A156" s="1"/>
      <c r="B156" s="1"/>
      <c r="C156" s="1" t="str">
        <f aca="false">"Hedging portion - phase "&amp;I61</f>
        <v>Hedging portion - phase 5</v>
      </c>
      <c r="D156" s="1"/>
      <c r="E156" s="1"/>
      <c r="F156" s="1"/>
      <c r="I156" s="1"/>
      <c r="J156" s="1"/>
      <c r="K156" s="15" t="s">
        <v>33</v>
      </c>
      <c r="L156" s="12"/>
      <c r="M156" s="63"/>
      <c r="N156" s="63"/>
      <c r="O156" s="63"/>
      <c r="P156" s="63"/>
      <c r="Q156" s="63"/>
      <c r="R156" s="63"/>
    </row>
    <row r="157" customFormat="false" ht="13.8" hidden="false" customHeight="false" outlineLevel="0" collapsed="false">
      <c r="A157" s="1"/>
      <c r="B157" s="1"/>
      <c r="C157" s="1" t="str">
        <f aca="false">"Hedging portion - phase "&amp;I62</f>
        <v>Hedging portion - phase 6</v>
      </c>
      <c r="D157" s="1"/>
      <c r="E157" s="1"/>
      <c r="F157" s="1"/>
      <c r="I157" s="1"/>
      <c r="J157" s="1"/>
      <c r="K157" s="15" t="s">
        <v>33</v>
      </c>
      <c r="L157" s="12"/>
      <c r="M157" s="63"/>
      <c r="N157" s="63"/>
      <c r="O157" s="63"/>
      <c r="P157" s="63"/>
      <c r="Q157" s="63"/>
      <c r="R157" s="63"/>
    </row>
    <row r="158" customFormat="false" ht="13.8" hidden="false" customHeight="false" outlineLevel="0" collapsed="false">
      <c r="A158" s="1"/>
      <c r="B158" s="1"/>
      <c r="C158" s="1" t="str">
        <f aca="false">"Hedging portion - phase "&amp;I63</f>
        <v>Hedging portion - phase 7</v>
      </c>
      <c r="D158" s="1"/>
      <c r="E158" s="1"/>
      <c r="F158" s="1"/>
      <c r="I158" s="1"/>
      <c r="J158" s="1"/>
      <c r="K158" s="15" t="s">
        <v>33</v>
      </c>
      <c r="L158" s="12"/>
      <c r="M158" s="63"/>
      <c r="N158" s="63"/>
      <c r="O158" s="63"/>
      <c r="P158" s="63"/>
      <c r="Q158" s="63"/>
      <c r="R158" s="63"/>
    </row>
    <row r="159" customFormat="false" ht="13.8" hidden="false" customHeight="false" outlineLevel="0" collapsed="false">
      <c r="A159" s="1"/>
      <c r="B159" s="1"/>
      <c r="C159" s="1" t="str">
        <f aca="false">"Hedging portion - phase "&amp;I64</f>
        <v>Hedging portion - phase 8</v>
      </c>
      <c r="D159" s="1"/>
      <c r="E159" s="1"/>
      <c r="F159" s="1"/>
      <c r="I159" s="1"/>
      <c r="J159" s="1"/>
      <c r="K159" s="15" t="s">
        <v>33</v>
      </c>
      <c r="L159" s="12"/>
      <c r="M159" s="63"/>
      <c r="N159" s="63"/>
      <c r="O159" s="63"/>
      <c r="P159" s="63"/>
      <c r="Q159" s="63"/>
      <c r="R159" s="63"/>
    </row>
    <row r="160" customFormat="false" ht="13.8" hidden="false" customHeight="false" outlineLevel="0" collapsed="false">
      <c r="A160" s="1"/>
      <c r="C160" s="1" t="str">
        <f aca="false">"Hedging duration - phase "&amp;I57</f>
        <v>Hedging duration - phase 1</v>
      </c>
      <c r="K160" s="15" t="s">
        <v>108</v>
      </c>
      <c r="L160" s="12"/>
      <c r="M160" s="67"/>
      <c r="N160" s="67" t="n">
        <v>240</v>
      </c>
      <c r="O160" s="67"/>
      <c r="P160" s="67" t="n">
        <v>240</v>
      </c>
      <c r="Q160" s="67" t="n">
        <v>240</v>
      </c>
      <c r="R160" s="67" t="n">
        <v>240</v>
      </c>
    </row>
    <row r="161" customFormat="false" ht="13.8" hidden="false" customHeight="false" outlineLevel="0" collapsed="false">
      <c r="A161" s="1"/>
      <c r="C161" s="1" t="str">
        <f aca="false">"Hedging duration - phase "&amp;I58</f>
        <v>Hedging duration - phase 2</v>
      </c>
      <c r="K161" s="15" t="s">
        <v>108</v>
      </c>
      <c r="L161" s="12"/>
      <c r="M161" s="67"/>
      <c r="N161" s="67"/>
      <c r="O161" s="67"/>
      <c r="P161" s="67"/>
      <c r="Q161" s="67"/>
      <c r="R161" s="67"/>
    </row>
    <row r="162" customFormat="false" ht="13.8" hidden="false" customHeight="false" outlineLevel="0" collapsed="false">
      <c r="A162" s="1"/>
      <c r="C162" s="1" t="str">
        <f aca="false">"Hedging duration - phase "&amp;I59</f>
        <v>Hedging duration - phase 3</v>
      </c>
      <c r="K162" s="15" t="s">
        <v>108</v>
      </c>
      <c r="L162" s="12"/>
      <c r="M162" s="67"/>
      <c r="N162" s="67"/>
      <c r="O162" s="67"/>
      <c r="P162" s="67"/>
      <c r="Q162" s="67"/>
      <c r="R162" s="67"/>
    </row>
    <row r="163" customFormat="false" ht="13.8" hidden="false" customHeight="false" outlineLevel="0" collapsed="false">
      <c r="A163" s="1"/>
      <c r="C163" s="1" t="str">
        <f aca="false">"Hedging duration - phase "&amp;I60</f>
        <v>Hedging duration - phase 4</v>
      </c>
      <c r="K163" s="15" t="s">
        <v>108</v>
      </c>
      <c r="L163" s="12"/>
      <c r="M163" s="67"/>
      <c r="N163" s="67"/>
      <c r="O163" s="67"/>
      <c r="P163" s="67"/>
      <c r="Q163" s="67"/>
      <c r="R163" s="67"/>
    </row>
    <row r="164" customFormat="false" ht="13.8" hidden="false" customHeight="false" outlineLevel="0" collapsed="false">
      <c r="A164" s="1"/>
      <c r="C164" s="1" t="str">
        <f aca="false">"Hedging duration - phase "&amp;I61</f>
        <v>Hedging duration - phase 5</v>
      </c>
      <c r="K164" s="15" t="s">
        <v>108</v>
      </c>
      <c r="L164" s="12"/>
      <c r="M164" s="67"/>
      <c r="N164" s="67"/>
      <c r="O164" s="67"/>
      <c r="P164" s="67"/>
      <c r="Q164" s="67"/>
      <c r="R164" s="67"/>
    </row>
    <row r="165" customFormat="false" ht="13.8" hidden="false" customHeight="false" outlineLevel="0" collapsed="false">
      <c r="A165" s="1"/>
      <c r="C165" s="1" t="str">
        <f aca="false">"Hedging duration - phase "&amp;I62</f>
        <v>Hedging duration - phase 6</v>
      </c>
      <c r="K165" s="15" t="s">
        <v>108</v>
      </c>
      <c r="L165" s="12"/>
      <c r="M165" s="67"/>
      <c r="N165" s="67"/>
      <c r="O165" s="67"/>
      <c r="P165" s="67"/>
      <c r="Q165" s="67"/>
      <c r="R165" s="67"/>
    </row>
    <row r="166" customFormat="false" ht="13.8" hidden="false" customHeight="false" outlineLevel="0" collapsed="false">
      <c r="A166" s="1"/>
      <c r="C166" s="1" t="str">
        <f aca="false">"Hedging duration - phase "&amp;I63</f>
        <v>Hedging duration - phase 7</v>
      </c>
      <c r="K166" s="15" t="s">
        <v>108</v>
      </c>
      <c r="L166" s="12"/>
      <c r="M166" s="67"/>
      <c r="N166" s="67"/>
      <c r="O166" s="67"/>
      <c r="P166" s="67"/>
      <c r="Q166" s="67"/>
      <c r="R166" s="67"/>
    </row>
    <row r="167" customFormat="false" ht="13.8" hidden="false" customHeight="false" outlineLevel="0" collapsed="false">
      <c r="A167" s="1"/>
      <c r="C167" s="1" t="str">
        <f aca="false">"Hedging duration - phase "&amp;I64</f>
        <v>Hedging duration - phase 8</v>
      </c>
      <c r="K167" s="15" t="s">
        <v>108</v>
      </c>
      <c r="L167" s="12"/>
      <c r="M167" s="67"/>
      <c r="N167" s="67"/>
      <c r="O167" s="67"/>
      <c r="P167" s="67"/>
      <c r="Q167" s="67"/>
      <c r="R167" s="67"/>
    </row>
    <row r="168" customFormat="false" ht="13.8" hidden="false" customHeight="false" outlineLevel="0" collapsed="false">
      <c r="C168" s="1" t="s">
        <v>270</v>
      </c>
      <c r="K168" s="15" t="s">
        <v>80</v>
      </c>
      <c r="L168" s="90"/>
      <c r="M168" s="94"/>
      <c r="N168" s="94" t="n">
        <v>360</v>
      </c>
      <c r="O168" s="94"/>
      <c r="P168" s="94" t="n">
        <v>360</v>
      </c>
      <c r="Q168" s="94" t="n">
        <v>360</v>
      </c>
      <c r="R168" s="94" t="n">
        <v>360</v>
      </c>
    </row>
    <row r="169" customFormat="false" ht="13.8" hidden="false" customHeight="false" outlineLevel="0" collapsed="false">
      <c r="A169" s="1"/>
      <c r="L169" s="90"/>
    </row>
    <row r="170" customFormat="false" ht="13.8" hidden="false" customHeight="false" outlineLevel="0" collapsed="false">
      <c r="A170" s="1"/>
      <c r="B170" s="1"/>
      <c r="C170" s="14" t="s">
        <v>278</v>
      </c>
      <c r="D170" s="1"/>
      <c r="E170" s="1"/>
      <c r="F170" s="1"/>
      <c r="I170" s="1"/>
      <c r="J170" s="1"/>
      <c r="K170" s="1"/>
      <c r="L170" s="12"/>
      <c r="M170" s="1"/>
      <c r="N170" s="1"/>
      <c r="O170" s="1"/>
      <c r="P170" s="1"/>
      <c r="Q170" s="1"/>
      <c r="R170" s="1"/>
    </row>
    <row r="171" customFormat="false" ht="14.9" hidden="false" customHeight="false" outlineLevel="0" collapsed="false">
      <c r="A171" s="1"/>
      <c r="C171" s="1" t="s">
        <v>279</v>
      </c>
      <c r="K171" s="15" t="s">
        <v>109</v>
      </c>
      <c r="L171" s="12"/>
      <c r="M171" s="63"/>
      <c r="N171" s="63" t="b">
        <f aca="false">TRUE()</f>
        <v>1</v>
      </c>
      <c r="O171" s="63"/>
      <c r="P171" s="63" t="b">
        <f aca="false">TRUE()</f>
        <v>1</v>
      </c>
      <c r="Q171" s="63" t="b">
        <f aca="false">TRUE()</f>
        <v>1</v>
      </c>
      <c r="R171" s="63" t="b">
        <f aca="false">TRUE()</f>
        <v>1</v>
      </c>
    </row>
    <row r="172" customFormat="false" ht="13.8" hidden="false" customHeight="false" outlineLevel="0" collapsed="false">
      <c r="A172" s="1"/>
      <c r="B172" s="1"/>
      <c r="C172" s="1" t="s">
        <v>280</v>
      </c>
      <c r="D172" s="1"/>
      <c r="E172" s="1"/>
      <c r="F172" s="1"/>
      <c r="I172" s="1"/>
      <c r="J172" s="1"/>
      <c r="K172" s="15" t="s">
        <v>33</v>
      </c>
      <c r="L172" s="12"/>
      <c r="M172" s="63"/>
      <c r="N172" s="63" t="n">
        <f aca="false">N126*35%</f>
        <v>0.004095</v>
      </c>
      <c r="O172" s="63"/>
      <c r="P172" s="63" t="n">
        <f aca="false">P126*35%</f>
        <v>0.004095</v>
      </c>
      <c r="Q172" s="63" t="n">
        <f aca="false">Q126*35%</f>
        <v>0.004095</v>
      </c>
      <c r="R172" s="63" t="n">
        <f aca="false">R126*35%</f>
        <v>0.004095</v>
      </c>
    </row>
    <row r="173" customFormat="false" ht="13.8" hidden="false" customHeight="false" outlineLevel="0" collapsed="false">
      <c r="L173" s="12"/>
    </row>
    <row r="174" customFormat="false" ht="13.8" hidden="false" customHeight="false" outlineLevel="0" collapsed="false">
      <c r="A174" s="1"/>
      <c r="B174" s="1"/>
      <c r="C174" s="14" t="s">
        <v>281</v>
      </c>
      <c r="D174" s="1"/>
      <c r="E174" s="1"/>
      <c r="F174" s="1"/>
      <c r="I174" s="1"/>
      <c r="J174" s="1"/>
      <c r="K174" s="1"/>
      <c r="L174" s="12"/>
      <c r="M174" s="1"/>
      <c r="N174" s="1"/>
      <c r="O174" s="1"/>
      <c r="P174" s="1"/>
      <c r="Q174" s="1"/>
      <c r="R174" s="1"/>
    </row>
    <row r="175" customFormat="false" ht="13.8" hidden="false" customHeight="false" outlineLevel="0" collapsed="false">
      <c r="A175" s="1"/>
      <c r="B175" s="1"/>
      <c r="C175" s="1" t="s">
        <v>281</v>
      </c>
      <c r="D175" s="1"/>
      <c r="E175" s="1"/>
      <c r="F175" s="1"/>
      <c r="I175" s="1"/>
      <c r="J175" s="1"/>
      <c r="K175" s="15" t="s">
        <v>33</v>
      </c>
      <c r="L175" s="12"/>
      <c r="M175" s="63"/>
      <c r="N175" s="63" t="n">
        <v>0.01</v>
      </c>
      <c r="O175" s="63"/>
      <c r="P175" s="63" t="n">
        <v>0.01</v>
      </c>
      <c r="Q175" s="63" t="n">
        <v>0.01</v>
      </c>
      <c r="R175" s="63" t="n">
        <v>0.01</v>
      </c>
    </row>
    <row r="176" customFormat="false" ht="13.8" hidden="false" customHeight="false" outlineLevel="0" collapsed="false">
      <c r="L176" s="12"/>
    </row>
    <row r="177" customFormat="false" ht="13.8" hidden="false" customHeight="false" outlineLevel="0" collapsed="false">
      <c r="C177" s="14" t="s">
        <v>282</v>
      </c>
      <c r="L177" s="12"/>
    </row>
    <row r="178" customFormat="false" ht="13.8" hidden="false" customHeight="false" outlineLevel="0" collapsed="false">
      <c r="C178" s="1" t="s">
        <v>283</v>
      </c>
      <c r="K178" s="15" t="s">
        <v>284</v>
      </c>
      <c r="L178" s="12"/>
      <c r="M178" s="106"/>
      <c r="N178" s="106" t="n">
        <v>15</v>
      </c>
      <c r="O178" s="106"/>
      <c r="P178" s="106" t="n">
        <v>15</v>
      </c>
      <c r="Q178" s="106" t="n">
        <v>15</v>
      </c>
      <c r="R178" s="106" t="n">
        <v>15</v>
      </c>
    </row>
    <row r="179" customFormat="false" ht="13.8" hidden="false" customHeight="false" outlineLevel="0" collapsed="false">
      <c r="A179" s="1"/>
      <c r="C179" s="1" t="s">
        <v>285</v>
      </c>
      <c r="K179" s="15" t="s">
        <v>284</v>
      </c>
      <c r="L179" s="12"/>
      <c r="M179" s="103" t="e">
        <f aca="false">IF(AND(M$3=TRUE(),M$51=TRUE(),OR(Phase=M$75,Phase=9)),M178,0)</f>
        <v>#REF!</v>
      </c>
      <c r="N179" s="103" t="e">
        <f aca="false">IF(AND(N$3=TRUE(),N$51=TRUE(),OR(Phase=N$75,Phase=9)),N178,0)</f>
        <v>#REF!</v>
      </c>
      <c r="O179" s="103"/>
      <c r="P179" s="103" t="e">
        <f aca="false">IF(AND(P$3=TRUE(),P$51=TRUE(),OR(Phase=P$75,Phase=9)),P178,0)</f>
        <v>#REF!</v>
      </c>
      <c r="Q179" s="103" t="e">
        <f aca="false">IF(AND(Q$3=TRUE(),Q$51=TRUE(),OR(Phase=Q$75,Phase=9)),Q178,0)</f>
        <v>#REF!</v>
      </c>
      <c r="R179" s="103" t="e">
        <f aca="false">IF(AND(R$3=TRUE(),R$51=TRUE(),OR(Phase=R$75,Phase=9)),R178,0)</f>
        <v>#REF!</v>
      </c>
    </row>
    <row r="180" customFormat="false" ht="13.8" hidden="false" customHeight="false" outlineLevel="0" collapsed="false">
      <c r="A180" s="1"/>
      <c r="C180" s="1" t="s">
        <v>286</v>
      </c>
      <c r="K180" s="15" t="s">
        <v>284</v>
      </c>
      <c r="L180" s="12"/>
      <c r="M180" s="106"/>
      <c r="N180" s="106" t="n">
        <v>5</v>
      </c>
      <c r="O180" s="106"/>
      <c r="P180" s="106" t="n">
        <v>5</v>
      </c>
      <c r="Q180" s="106" t="n">
        <v>5</v>
      </c>
      <c r="R180" s="106" t="n">
        <v>5</v>
      </c>
    </row>
    <row r="181" customFormat="false" ht="13.8" hidden="false" customHeight="false" outlineLevel="0" collapsed="false">
      <c r="A181" s="1"/>
      <c r="C181" s="1" t="s">
        <v>287</v>
      </c>
      <c r="K181" s="15" t="s">
        <v>284</v>
      </c>
      <c r="L181" s="12"/>
      <c r="M181" s="103" t="e">
        <f aca="false">IF(AND(M$3=TRUE(),M$51=TRUE(),OR(Phase=M$75,Phase=9)),M180/IF(M182=TRUE(),INDEX(ass_Market!$W$12:$AC$63,MATCH(M$185,ass_Market!$C$12:$C$63,0),MATCH(M$183,ass_Market!$W$9:$AC$9,0)),1),0)</f>
        <v>#REF!</v>
      </c>
      <c r="N181" s="103" t="e">
        <f aca="false">IF(AND(N$3=TRUE(),N$51=TRUE(),OR(Phase=N$75,Phase=9)),N180/IF(N182=TRUE(),INDEX(ass_Market!$W$12:$AC$63,MATCH(N$185,ass_Market!$C$12:$C$63,0),MATCH(N$183,ass_Market!$W$9:$AC$9,0)),1),0)</f>
        <v>#REF!</v>
      </c>
      <c r="O181" s="103"/>
      <c r="P181" s="103" t="e">
        <f aca="false">IF(AND(P$3=TRUE(),P$51=TRUE(),OR(Phase=P$75,Phase=9)),P180/IF(P182=TRUE(),INDEX(ass_Market!$W$12:$AC$63,MATCH(P$185,ass_Market!$C$12:$C$63,0),MATCH(P$183,ass_Market!$W$9:$AC$9,0)),1),0)</f>
        <v>#REF!</v>
      </c>
      <c r="Q181" s="103" t="e">
        <f aca="false">IF(AND(Q$3=TRUE(),Q$51=TRUE(),OR(Phase=Q$75,Phase=9)),Q180/IF(Q182=TRUE(),INDEX(ass_Market!$W$12:$AC$63,MATCH(Q$185,ass_Market!$C$12:$C$63,0),MATCH(Q$183,ass_Market!$W$9:$AC$9,0)),1),0)</f>
        <v>#REF!</v>
      </c>
      <c r="R181" s="103" t="e">
        <f aca="false">IF(AND(R$3=TRUE(),R$51=TRUE(),OR(Phase=R$75,Phase=9)),R180/IF(R182=TRUE(),INDEX(ass_Market!$W$12:$AC$63,MATCH(R$185,ass_Market!$C$12:$C$63,0),MATCH(R$183,ass_Market!$W$9:$AC$9,0)),1),0)</f>
        <v>#REF!</v>
      </c>
    </row>
    <row r="182" customFormat="false" ht="14.9" hidden="false" customHeight="false" outlineLevel="0" collapsed="false">
      <c r="A182" s="1"/>
      <c r="C182" s="5" t="s">
        <v>288</v>
      </c>
      <c r="K182" s="15" t="s">
        <v>109</v>
      </c>
      <c r="L182" s="12"/>
      <c r="M182" s="63"/>
      <c r="N182" s="63" t="b">
        <f aca="false">FALSE()</f>
        <v>0</v>
      </c>
      <c r="O182" s="63"/>
      <c r="P182" s="63" t="b">
        <f aca="false">FALSE()</f>
        <v>0</v>
      </c>
      <c r="Q182" s="63" t="b">
        <f aca="false">FALSE()</f>
        <v>0</v>
      </c>
      <c r="R182" s="63" t="b">
        <f aca="false">FALSE()</f>
        <v>0</v>
      </c>
    </row>
    <row r="183" customFormat="false" ht="13.8" hidden="false" customHeight="false" outlineLevel="0" collapsed="false">
      <c r="A183" s="1"/>
      <c r="C183" s="5" t="s">
        <v>205</v>
      </c>
      <c r="K183" s="15" t="s">
        <v>80</v>
      </c>
      <c r="L183" s="90"/>
      <c r="M183" s="94"/>
      <c r="N183" s="94"/>
      <c r="O183" s="94"/>
      <c r="P183" s="94"/>
      <c r="Q183" s="94"/>
      <c r="R183" s="94"/>
    </row>
    <row r="184" customFormat="false" ht="13.8" hidden="false" customHeight="false" outlineLevel="0" collapsed="false">
      <c r="C184" s="1" t="s">
        <v>289</v>
      </c>
      <c r="K184" s="15" t="s">
        <v>80</v>
      </c>
      <c r="L184" s="90"/>
      <c r="M184" s="94"/>
      <c r="N184" s="94" t="s">
        <v>290</v>
      </c>
      <c r="O184" s="94"/>
      <c r="P184" s="94" t="s">
        <v>290</v>
      </c>
      <c r="Q184" s="94" t="s">
        <v>290</v>
      </c>
      <c r="R184" s="94" t="s">
        <v>290</v>
      </c>
    </row>
    <row r="185" customFormat="false" ht="13.8" hidden="false" customHeight="false" outlineLevel="0" collapsed="false">
      <c r="A185" s="1"/>
      <c r="C185" s="1" t="s">
        <v>207</v>
      </c>
      <c r="K185" s="15" t="s">
        <v>139</v>
      </c>
      <c r="L185" s="90"/>
      <c r="M185" s="87"/>
      <c r="N185" s="87" t="n">
        <v>360</v>
      </c>
      <c r="O185" s="87"/>
      <c r="P185" s="87" t="n">
        <v>360</v>
      </c>
      <c r="Q185" s="87" t="n">
        <v>360</v>
      </c>
      <c r="R185" s="87" t="n">
        <v>360</v>
      </c>
    </row>
    <row r="186" customFormat="false" ht="13.8" hidden="false" customHeight="false" outlineLevel="0" collapsed="false">
      <c r="L186" s="12"/>
    </row>
    <row r="187" customFormat="false" ht="13.8" hidden="false" customHeight="false" outlineLevel="0" collapsed="false">
      <c r="A187" s="1"/>
      <c r="B187" s="1"/>
      <c r="C187" s="14" t="s">
        <v>291</v>
      </c>
      <c r="D187" s="1"/>
      <c r="E187" s="1"/>
      <c r="F187" s="1"/>
      <c r="I187" s="1"/>
      <c r="J187" s="1"/>
      <c r="K187" s="1"/>
      <c r="L187" s="12"/>
      <c r="M187" s="1"/>
      <c r="N187" s="1"/>
      <c r="O187" s="1"/>
      <c r="P187" s="1"/>
      <c r="Q187" s="1"/>
      <c r="R187" s="1"/>
    </row>
    <row r="188" customFormat="false" ht="13.8" hidden="false" customHeight="false" outlineLevel="0" collapsed="false">
      <c r="A188" s="1"/>
      <c r="C188" s="5" t="str">
        <f aca="false">"Debt fixed amount activation - phase "&amp;I57</f>
        <v>Debt fixed amount activation - phase 1</v>
      </c>
      <c r="K188" s="15" t="s">
        <v>109</v>
      </c>
      <c r="L188" s="12"/>
      <c r="M188" s="63"/>
      <c r="N188" s="63"/>
      <c r="O188" s="63"/>
      <c r="P188" s="63"/>
      <c r="Q188" s="63"/>
      <c r="R188" s="63"/>
    </row>
    <row r="189" customFormat="false" ht="13.8" hidden="false" customHeight="false" outlineLevel="0" collapsed="false">
      <c r="A189" s="1"/>
      <c r="C189" s="5" t="str">
        <f aca="false">"Debt fixed amount activation - phase "&amp;I58</f>
        <v>Debt fixed amount activation - phase 2</v>
      </c>
      <c r="K189" s="15" t="s">
        <v>109</v>
      </c>
      <c r="L189" s="12"/>
      <c r="M189" s="63"/>
      <c r="N189" s="63"/>
      <c r="O189" s="63"/>
      <c r="P189" s="63"/>
      <c r="Q189" s="63"/>
      <c r="R189" s="63"/>
    </row>
    <row r="190" customFormat="false" ht="13.8" hidden="false" customHeight="false" outlineLevel="0" collapsed="false">
      <c r="C190" s="5" t="str">
        <f aca="false">"Debt fixed amount activation - phase "&amp;I59</f>
        <v>Debt fixed amount activation - phase 3</v>
      </c>
      <c r="K190" s="15" t="s">
        <v>109</v>
      </c>
      <c r="L190" s="12"/>
      <c r="M190" s="63"/>
      <c r="N190" s="63"/>
      <c r="O190" s="63"/>
      <c r="P190" s="63"/>
      <c r="Q190" s="63"/>
      <c r="R190" s="63"/>
    </row>
    <row r="191" customFormat="false" ht="13.8" hidden="false" customHeight="false" outlineLevel="0" collapsed="false">
      <c r="C191" s="5" t="str">
        <f aca="false">"Debt fixed amount activation - phase "&amp;I60</f>
        <v>Debt fixed amount activation - phase 4</v>
      </c>
      <c r="K191" s="15" t="s">
        <v>109</v>
      </c>
      <c r="L191" s="12"/>
      <c r="M191" s="63"/>
      <c r="N191" s="63"/>
      <c r="O191" s="63"/>
      <c r="P191" s="63"/>
      <c r="Q191" s="63"/>
      <c r="R191" s="63"/>
    </row>
    <row r="192" customFormat="false" ht="13.8" hidden="false" customHeight="false" outlineLevel="0" collapsed="false">
      <c r="C192" s="5" t="str">
        <f aca="false">"Debt fixed amount activation - phase "&amp;I61</f>
        <v>Debt fixed amount activation - phase 5</v>
      </c>
      <c r="K192" s="15" t="s">
        <v>109</v>
      </c>
      <c r="L192" s="12"/>
      <c r="M192" s="63"/>
      <c r="N192" s="63"/>
      <c r="O192" s="63"/>
      <c r="P192" s="63"/>
      <c r="Q192" s="63"/>
      <c r="R192" s="63"/>
    </row>
    <row r="193" customFormat="false" ht="13.8" hidden="false" customHeight="false" outlineLevel="0" collapsed="false">
      <c r="C193" s="5" t="str">
        <f aca="false">"Debt fixed amount activation - phase "&amp;I62</f>
        <v>Debt fixed amount activation - phase 6</v>
      </c>
      <c r="K193" s="15" t="s">
        <v>109</v>
      </c>
      <c r="L193" s="12"/>
      <c r="M193" s="63"/>
      <c r="N193" s="63"/>
      <c r="O193" s="63"/>
      <c r="P193" s="63"/>
      <c r="Q193" s="63"/>
      <c r="R193" s="63"/>
    </row>
    <row r="194" customFormat="false" ht="13.8" hidden="false" customHeight="false" outlineLevel="0" collapsed="false">
      <c r="C194" s="5" t="str">
        <f aca="false">"Debt fixed amount activation - phase "&amp;I63</f>
        <v>Debt fixed amount activation - phase 7</v>
      </c>
      <c r="K194" s="15" t="s">
        <v>109</v>
      </c>
      <c r="L194" s="12"/>
      <c r="M194" s="63"/>
      <c r="N194" s="63"/>
      <c r="O194" s="63"/>
      <c r="P194" s="63"/>
      <c r="Q194" s="63"/>
      <c r="R194" s="63"/>
    </row>
    <row r="195" customFormat="false" ht="13.8" hidden="false" customHeight="false" outlineLevel="0" collapsed="false">
      <c r="C195" s="5" t="str">
        <f aca="false">"Debt fixed amount activation - phase "&amp;I64</f>
        <v>Debt fixed amount activation - phase 8</v>
      </c>
      <c r="K195" s="15" t="s">
        <v>109</v>
      </c>
      <c r="L195" s="12"/>
      <c r="M195" s="63"/>
      <c r="N195" s="63"/>
      <c r="O195" s="63"/>
      <c r="P195" s="63"/>
      <c r="Q195" s="63"/>
      <c r="R195" s="63"/>
    </row>
    <row r="196" customFormat="false" ht="13.8" hidden="false" customHeight="false" outlineLevel="0" collapsed="false">
      <c r="C196" s="5" t="str">
        <f aca="false">"Debt fixed amount - phase "&amp;I57</f>
        <v>Debt fixed amount - phase 1</v>
      </c>
      <c r="K196" s="15" t="s">
        <v>12</v>
      </c>
      <c r="L196" s="12"/>
      <c r="M196" s="93"/>
      <c r="N196" s="93"/>
      <c r="O196" s="93"/>
      <c r="P196" s="93"/>
      <c r="Q196" s="93"/>
      <c r="R196" s="93"/>
    </row>
    <row r="197" customFormat="false" ht="13.8" hidden="false" customHeight="false" outlineLevel="0" collapsed="false">
      <c r="C197" s="5" t="str">
        <f aca="false">"Debt fixed amount - phase "&amp;I58</f>
        <v>Debt fixed amount - phase 2</v>
      </c>
      <c r="K197" s="15" t="s">
        <v>12</v>
      </c>
      <c r="L197" s="12"/>
      <c r="M197" s="93"/>
      <c r="N197" s="93"/>
      <c r="O197" s="93"/>
      <c r="P197" s="93"/>
      <c r="Q197" s="93"/>
      <c r="R197" s="93"/>
    </row>
    <row r="198" customFormat="false" ht="13.8" hidden="false" customHeight="false" outlineLevel="0" collapsed="false">
      <c r="C198" s="5" t="str">
        <f aca="false">"Debt fixed amount - phase "&amp;I59</f>
        <v>Debt fixed amount - phase 3</v>
      </c>
      <c r="K198" s="15" t="s">
        <v>12</v>
      </c>
      <c r="L198" s="12"/>
      <c r="M198" s="93"/>
      <c r="N198" s="93"/>
      <c r="O198" s="93"/>
      <c r="P198" s="93"/>
      <c r="Q198" s="93"/>
      <c r="R198" s="93"/>
    </row>
    <row r="199" customFormat="false" ht="13.8" hidden="false" customHeight="false" outlineLevel="0" collapsed="false">
      <c r="C199" s="5" t="str">
        <f aca="false">"Debt fixed amount - phase "&amp;I60</f>
        <v>Debt fixed amount - phase 4</v>
      </c>
      <c r="K199" s="15" t="s">
        <v>12</v>
      </c>
      <c r="L199" s="12"/>
      <c r="M199" s="93"/>
      <c r="N199" s="93"/>
      <c r="O199" s="93"/>
      <c r="P199" s="93"/>
      <c r="Q199" s="93"/>
      <c r="R199" s="93"/>
    </row>
    <row r="200" customFormat="false" ht="13.8" hidden="false" customHeight="false" outlineLevel="0" collapsed="false">
      <c r="C200" s="5" t="str">
        <f aca="false">"Debt fixed amount - phase "&amp;I61</f>
        <v>Debt fixed amount - phase 5</v>
      </c>
      <c r="K200" s="15" t="s">
        <v>12</v>
      </c>
      <c r="L200" s="12"/>
      <c r="M200" s="93"/>
      <c r="N200" s="93"/>
      <c r="O200" s="93"/>
      <c r="P200" s="93"/>
      <c r="Q200" s="93"/>
      <c r="R200" s="93"/>
    </row>
    <row r="201" customFormat="false" ht="13.8" hidden="false" customHeight="false" outlineLevel="0" collapsed="false">
      <c r="C201" s="5" t="str">
        <f aca="false">"Debt fixed amount - phase "&amp;I62</f>
        <v>Debt fixed amount - phase 6</v>
      </c>
      <c r="K201" s="15" t="s">
        <v>12</v>
      </c>
      <c r="L201" s="12"/>
      <c r="M201" s="93"/>
      <c r="N201" s="93"/>
      <c r="O201" s="93"/>
      <c r="P201" s="93"/>
      <c r="Q201" s="93"/>
      <c r="R201" s="93"/>
    </row>
    <row r="202" customFormat="false" ht="13.8" hidden="false" customHeight="false" outlineLevel="0" collapsed="false">
      <c r="C202" s="5" t="str">
        <f aca="false">"Debt fixed amount - phase "&amp;I63</f>
        <v>Debt fixed amount - phase 7</v>
      </c>
      <c r="K202" s="15" t="s">
        <v>12</v>
      </c>
      <c r="L202" s="12"/>
      <c r="M202" s="93"/>
      <c r="N202" s="93"/>
      <c r="O202" s="93"/>
      <c r="P202" s="93"/>
      <c r="Q202" s="93"/>
      <c r="R202" s="93"/>
    </row>
    <row r="203" customFormat="false" ht="13.8" hidden="false" customHeight="false" outlineLevel="0" collapsed="false">
      <c r="C203" s="5" t="str">
        <f aca="false">"Debt fixed amount - phase "&amp;I64</f>
        <v>Debt fixed amount - phase 8</v>
      </c>
      <c r="K203" s="15" t="s">
        <v>12</v>
      </c>
      <c r="L203" s="12"/>
      <c r="M203" s="93"/>
      <c r="N203" s="93"/>
      <c r="O203" s="93"/>
      <c r="P203" s="93"/>
      <c r="Q203" s="93"/>
      <c r="R203" s="93"/>
    </row>
    <row r="204" customFormat="false" ht="13.8" hidden="false" customHeight="false" outlineLevel="0" collapsed="false">
      <c r="C204" s="5" t="str">
        <f aca="false">"Fixed debt schedule activation (if activated, DS to be paste in Sizing) - phase "&amp;I57</f>
        <v>Fixed debt schedule activation (if activated, DS to be paste in Sizing) - phase 1</v>
      </c>
      <c r="K204" s="15" t="s">
        <v>109</v>
      </c>
      <c r="L204" s="12"/>
      <c r="M204" s="63"/>
      <c r="N204" s="63"/>
      <c r="O204" s="63"/>
      <c r="P204" s="63"/>
      <c r="Q204" s="63"/>
      <c r="R204" s="63"/>
    </row>
    <row r="205" customFormat="false" ht="13.8" hidden="false" customHeight="false" outlineLevel="0" collapsed="false">
      <c r="C205" s="5" t="str">
        <f aca="false">"Fixed debt schedule activation (if activated, DS to be paste in Sizing) - phase "&amp;I58</f>
        <v>Fixed debt schedule activation (if activated, DS to be paste in Sizing) - phase 2</v>
      </c>
      <c r="K205" s="15" t="s">
        <v>109</v>
      </c>
      <c r="L205" s="12"/>
      <c r="M205" s="63"/>
      <c r="N205" s="63"/>
      <c r="O205" s="63"/>
      <c r="P205" s="63"/>
      <c r="Q205" s="63"/>
      <c r="R205" s="63"/>
    </row>
    <row r="206" customFormat="false" ht="13.8" hidden="false" customHeight="false" outlineLevel="0" collapsed="false">
      <c r="C206" s="5" t="str">
        <f aca="false">"Fixed debt schedule activation (if activated, DS to be paste in Sizing) - phase "&amp;I59</f>
        <v>Fixed debt schedule activation (if activated, DS to be paste in Sizing) - phase 3</v>
      </c>
      <c r="K206" s="15" t="s">
        <v>109</v>
      </c>
      <c r="L206" s="12"/>
      <c r="M206" s="63"/>
      <c r="N206" s="63"/>
      <c r="O206" s="63"/>
      <c r="P206" s="63"/>
      <c r="Q206" s="63"/>
      <c r="R206" s="63"/>
    </row>
    <row r="207" customFormat="false" ht="13.8" hidden="false" customHeight="false" outlineLevel="0" collapsed="false">
      <c r="C207" s="5" t="str">
        <f aca="false">"Fixed debt schedule activation (if activated, DS to be paste in Sizing) - phase "&amp;I60</f>
        <v>Fixed debt schedule activation (if activated, DS to be paste in Sizing) - phase 4</v>
      </c>
      <c r="K207" s="15" t="s">
        <v>109</v>
      </c>
      <c r="L207" s="12"/>
      <c r="M207" s="63"/>
      <c r="N207" s="63"/>
      <c r="O207" s="63"/>
      <c r="P207" s="63"/>
      <c r="Q207" s="63"/>
      <c r="R207" s="63"/>
    </row>
    <row r="208" customFormat="false" ht="13.8" hidden="false" customHeight="false" outlineLevel="0" collapsed="false">
      <c r="C208" s="5" t="str">
        <f aca="false">"Fixed debt schedule activation (if activated, DS to be paste in Sizing) - phase "&amp;I61</f>
        <v>Fixed debt schedule activation (if activated, DS to be paste in Sizing) - phase 5</v>
      </c>
      <c r="K208" s="15" t="s">
        <v>109</v>
      </c>
      <c r="L208" s="12"/>
      <c r="M208" s="63"/>
      <c r="N208" s="63"/>
      <c r="O208" s="63"/>
      <c r="P208" s="63"/>
      <c r="Q208" s="63"/>
      <c r="R208" s="63"/>
    </row>
    <row r="209" customFormat="false" ht="13.8" hidden="false" customHeight="false" outlineLevel="0" collapsed="false">
      <c r="C209" s="5" t="str">
        <f aca="false">"Fixed debt schedule activation (if activated, DS to be paste in Sizing) - phase "&amp;I62</f>
        <v>Fixed debt schedule activation (if activated, DS to be paste in Sizing) - phase 6</v>
      </c>
      <c r="K209" s="15" t="s">
        <v>109</v>
      </c>
      <c r="L209" s="12"/>
      <c r="M209" s="63"/>
      <c r="N209" s="63"/>
      <c r="O209" s="63"/>
      <c r="P209" s="63"/>
      <c r="Q209" s="63"/>
      <c r="R209" s="63"/>
    </row>
    <row r="210" customFormat="false" ht="13.8" hidden="false" customHeight="false" outlineLevel="0" collapsed="false">
      <c r="C210" s="5" t="str">
        <f aca="false">"Fixed debt schedule activation (if activated, DS to be paste in Sizing) - phase "&amp;I63</f>
        <v>Fixed debt schedule activation (if activated, DS to be paste in Sizing) - phase 7</v>
      </c>
      <c r="K210" s="15" t="s">
        <v>109</v>
      </c>
      <c r="L210" s="12"/>
      <c r="M210" s="63"/>
      <c r="N210" s="63"/>
      <c r="O210" s="63"/>
      <c r="P210" s="63"/>
      <c r="Q210" s="63"/>
      <c r="R210" s="63"/>
    </row>
    <row r="211" customFormat="false" ht="13.8" hidden="false" customHeight="false" outlineLevel="0" collapsed="false">
      <c r="C211" s="5" t="str">
        <f aca="false">"Fixed debt schedule activation (if activated, DS to be paste in Sizing) - phase "&amp;I64</f>
        <v>Fixed debt schedule activation (if activated, DS to be paste in Sizing) - phase 8</v>
      </c>
      <c r="K211" s="15" t="s">
        <v>109</v>
      </c>
      <c r="L211" s="12"/>
      <c r="M211" s="63"/>
      <c r="N211" s="63"/>
      <c r="O211" s="63"/>
      <c r="P211" s="63"/>
      <c r="Q211" s="63"/>
      <c r="R211" s="63"/>
    </row>
    <row r="212" customFormat="false" ht="13.8" hidden="false" customHeight="false" outlineLevel="0" collapsed="false">
      <c r="L212" s="12"/>
    </row>
    <row r="213" customFormat="false" ht="13.8" hidden="false" customHeight="false" outlineLevel="0" collapsed="false">
      <c r="C213" s="14" t="s">
        <v>292</v>
      </c>
      <c r="L213" s="12"/>
    </row>
    <row r="214" customFormat="false" ht="14.9" hidden="false" customHeight="false" outlineLevel="0" collapsed="false">
      <c r="C214" s="5" t="s">
        <v>293</v>
      </c>
      <c r="K214" s="15" t="s">
        <v>109</v>
      </c>
      <c r="L214" s="12"/>
      <c r="M214" s="63" t="b">
        <f aca="false">FALSE()</f>
        <v>0</v>
      </c>
      <c r="N214" s="63" t="b">
        <f aca="false">FALSE()</f>
        <v>0</v>
      </c>
      <c r="O214" s="63"/>
      <c r="P214" s="63" t="b">
        <f aca="false">FALSE()</f>
        <v>0</v>
      </c>
      <c r="Q214" s="63" t="b">
        <f aca="false">FALSE()</f>
        <v>0</v>
      </c>
      <c r="R214" s="63" t="b">
        <f aca="false">FALSE()</f>
        <v>0</v>
      </c>
    </row>
    <row r="215" customFormat="false" ht="13.8" hidden="false" customHeight="false" outlineLevel="0" collapsed="false">
      <c r="C215" s="5" t="s">
        <v>294</v>
      </c>
      <c r="K215" s="15" t="s">
        <v>139</v>
      </c>
      <c r="L215" s="12"/>
      <c r="M215" s="87"/>
      <c r="N215" s="87"/>
      <c r="O215" s="87"/>
      <c r="P215" s="87"/>
      <c r="Q215" s="87"/>
      <c r="R215" s="87"/>
    </row>
    <row r="216" customFormat="false" ht="13.8" hidden="false" customHeight="false" outlineLevel="0" collapsed="false">
      <c r="C216" s="5" t="s">
        <v>295</v>
      </c>
      <c r="K216" s="15" t="s">
        <v>33</v>
      </c>
      <c r="L216" s="12"/>
      <c r="M216" s="18" t="n">
        <f aca="false">IF(AND(M$51=TRUE(),M214=TRUE()),M220/M221,)</f>
        <v>0</v>
      </c>
      <c r="N216" s="18" t="n">
        <f aca="false">IF(AND(N$51=TRUE(),N214=TRUE()),N220/N221,)</f>
        <v>0</v>
      </c>
      <c r="O216" s="18"/>
      <c r="P216" s="18" t="n">
        <f aca="false">IF(AND(P$51=TRUE(),P214=TRUE()),P220/P221,)</f>
        <v>0</v>
      </c>
      <c r="Q216" s="18" t="n">
        <f aca="false">IF(AND(Q$51=TRUE(),Q214=TRUE()),Q220/Q221,)</f>
        <v>0</v>
      </c>
      <c r="R216" s="18" t="n">
        <f aca="false">IF(AND(R$51=TRUE(),R214=TRUE()),R220/R221,)</f>
        <v>0</v>
      </c>
    </row>
    <row r="217" customFormat="false" ht="13.8" hidden="false" customHeight="false" outlineLevel="0" collapsed="false">
      <c r="C217" s="5" t="s">
        <v>296</v>
      </c>
      <c r="K217" s="15" t="s">
        <v>33</v>
      </c>
      <c r="L217" s="12"/>
      <c r="M217" s="18" t="n">
        <f aca="false">IF(AND(M$51=TRUE(),M214=TRUE()),(1-M$216)/4,)</f>
        <v>0</v>
      </c>
      <c r="N217" s="18" t="n">
        <f aca="false">IF(AND(N$51=TRUE(),N214=TRUE()),(1-N$216)/4,)</f>
        <v>0</v>
      </c>
      <c r="O217" s="18"/>
      <c r="P217" s="18" t="n">
        <f aca="false">IF(AND(P$51=TRUE(),P214=TRUE()),(1-P$216)/4,)</f>
        <v>0</v>
      </c>
      <c r="Q217" s="18" t="n">
        <f aca="false">IF(AND(Q$51=TRUE(),Q214=TRUE()),(1-Q$216)/4,)</f>
        <v>0</v>
      </c>
      <c r="R217" s="18" t="n">
        <f aca="false">IF(AND(R$51=TRUE(),R214=TRUE()),(1-R$216)/4,)</f>
        <v>0</v>
      </c>
    </row>
    <row r="218" customFormat="false" ht="13.8" hidden="false" customHeight="false" outlineLevel="0" collapsed="false">
      <c r="C218" s="5" t="s">
        <v>297</v>
      </c>
      <c r="K218" s="15" t="s">
        <v>33</v>
      </c>
      <c r="L218" s="12"/>
      <c r="M218" s="18" t="n">
        <f aca="false">IF(AND(M$51=TRUE(),M214=TRUE()),(1-M$216)/4,)</f>
        <v>0</v>
      </c>
      <c r="N218" s="18" t="n">
        <f aca="false">IF(AND(N$51=TRUE(),N214=TRUE()),(1-N$216)/4,)</f>
        <v>0</v>
      </c>
      <c r="O218" s="18"/>
      <c r="P218" s="18" t="n">
        <f aca="false">IF(AND(P$51=TRUE(),P214=TRUE()),(1-P$216)/4,)</f>
        <v>0</v>
      </c>
      <c r="Q218" s="18" t="n">
        <f aca="false">IF(AND(Q$51=TRUE(),Q214=TRUE()),(1-Q$216)/4,)</f>
        <v>0</v>
      </c>
      <c r="R218" s="18" t="n">
        <f aca="false">IF(AND(R$51=TRUE(),R214=TRUE()),(1-R$216)/4,)</f>
        <v>0</v>
      </c>
    </row>
    <row r="219" customFormat="false" ht="13.8" hidden="false" customHeight="false" outlineLevel="0" collapsed="false">
      <c r="C219" s="5" t="s">
        <v>298</v>
      </c>
      <c r="K219" s="15" t="s">
        <v>33</v>
      </c>
      <c r="L219" s="12"/>
      <c r="M219" s="18" t="n">
        <f aca="false">IF(AND(M$51=TRUE(),M214=TRUE()),(1-M$216)/4,)</f>
        <v>0</v>
      </c>
      <c r="N219" s="18" t="n">
        <f aca="false">IF(AND(N$51=TRUE(),N214=TRUE()),(1-N$216)/4,)</f>
        <v>0</v>
      </c>
      <c r="O219" s="18"/>
      <c r="P219" s="18" t="n">
        <f aca="false">IF(AND(P$51=TRUE(),P214=TRUE()),(1-P$216)/4,)</f>
        <v>0</v>
      </c>
      <c r="Q219" s="18" t="n">
        <f aca="false">IF(AND(Q$51=TRUE(),Q214=TRUE()),(1-Q$216)/4,)</f>
        <v>0</v>
      </c>
      <c r="R219" s="18" t="n">
        <f aca="false">IF(AND(R$51=TRUE(),R214=TRUE()),(1-R$216)/4,)</f>
        <v>0</v>
      </c>
    </row>
    <row r="220" customFormat="false" ht="13.8" hidden="false" customHeight="false" outlineLevel="0" collapsed="false">
      <c r="C220" s="5" t="s">
        <v>299</v>
      </c>
      <c r="K220" s="15" t="s">
        <v>300</v>
      </c>
      <c r="L220" s="12"/>
      <c r="M220" s="94"/>
      <c r="N220" s="94"/>
      <c r="O220" s="94"/>
      <c r="P220" s="94"/>
      <c r="Q220" s="94"/>
      <c r="R220" s="94"/>
    </row>
    <row r="221" customFormat="false" ht="13.8" hidden="false" customHeight="false" outlineLevel="0" collapsed="false">
      <c r="C221" s="5" t="s">
        <v>301</v>
      </c>
      <c r="K221" s="15" t="s">
        <v>300</v>
      </c>
      <c r="L221" s="12"/>
      <c r="M221" s="103" t="n">
        <f aca="false">IF(AND(M$51=TRUE(),M214=TRUE()),INDEX(#REF!,M$5*#REF!-#REF!,MATCH(M$215,#REF!,))*10^3,)</f>
        <v>0</v>
      </c>
      <c r="N221" s="103" t="n">
        <f aca="false">IF(AND(N$51=TRUE(),N214=TRUE()),INDEX(#REF!,N$5*#REF!-#REF!,MATCH(N$215,#REF!,))*10^3,)</f>
        <v>0</v>
      </c>
      <c r="O221" s="103"/>
      <c r="P221" s="103" t="n">
        <f aca="false">IF(AND(P$51=TRUE(),P214=TRUE()),INDEX(#REF!,P$5*#REF!-#REF!,MATCH(P$215,#REF!,))*10^3,)</f>
        <v>0</v>
      </c>
      <c r="Q221" s="103" t="n">
        <f aca="false">IF(AND(Q$51=TRUE(),Q214=TRUE()),INDEX(#REF!,Q$5*#REF!-#REF!,MATCH(Q$215,#REF!,))*10^3,)</f>
        <v>0</v>
      </c>
      <c r="R221" s="103" t="n">
        <f aca="false">IF(AND(R$51=TRUE(),R214=TRUE()),INDEX(#REF!,R$5*#REF!-#REF!,MATCH(R$215,#REF!,))*10^3,)</f>
        <v>0</v>
      </c>
    </row>
    <row r="222" customFormat="false" ht="13.8" hidden="false" customHeight="false" outlineLevel="0" collapsed="false">
      <c r="L222" s="12"/>
    </row>
    <row r="223" customFormat="false" ht="13.8" hidden="false" customHeight="false" outlineLevel="0" collapsed="false">
      <c r="C223" s="14" t="s">
        <v>302</v>
      </c>
      <c r="L223" s="12"/>
    </row>
    <row r="224" customFormat="false" ht="13.8" hidden="false" customHeight="false" outlineLevel="0" collapsed="false">
      <c r="A224" s="1"/>
      <c r="B224" s="1"/>
      <c r="C224" s="1" t="s">
        <v>303</v>
      </c>
      <c r="D224" s="1"/>
      <c r="E224" s="1"/>
      <c r="F224" s="1"/>
      <c r="J224" s="1"/>
      <c r="K224" s="15" t="s">
        <v>43</v>
      </c>
      <c r="L224" s="12"/>
      <c r="M224" s="107"/>
      <c r="N224" s="107" t="n">
        <v>1.15</v>
      </c>
      <c r="O224" s="107"/>
      <c r="P224" s="107" t="n">
        <v>1.15</v>
      </c>
      <c r="Q224" s="107" t="n">
        <v>1.15</v>
      </c>
      <c r="R224" s="107" t="n">
        <v>1.15</v>
      </c>
    </row>
    <row r="225" customFormat="false" ht="13.8" hidden="false" customHeight="false" outlineLevel="0" collapsed="false">
      <c r="A225" s="1"/>
      <c r="B225" s="1"/>
      <c r="C225" s="1" t="s">
        <v>304</v>
      </c>
      <c r="D225" s="1"/>
      <c r="E225" s="1"/>
      <c r="F225" s="1"/>
      <c r="J225" s="1"/>
      <c r="K225" s="15" t="s">
        <v>43</v>
      </c>
      <c r="L225" s="12"/>
      <c r="M225" s="107"/>
      <c r="N225" s="107" t="n">
        <v>1.15</v>
      </c>
      <c r="O225" s="107"/>
      <c r="P225" s="107" t="n">
        <v>1.15</v>
      </c>
      <c r="Q225" s="107" t="n">
        <v>1.15</v>
      </c>
      <c r="R225" s="107" t="n">
        <v>1.15</v>
      </c>
    </row>
    <row r="226" customFormat="false" ht="13.8" hidden="false" customHeight="false" outlineLevel="0" collapsed="false">
      <c r="A226" s="1"/>
      <c r="B226" s="1"/>
      <c r="C226" s="1" t="s">
        <v>305</v>
      </c>
      <c r="D226" s="1"/>
      <c r="E226" s="1"/>
      <c r="F226" s="1"/>
      <c r="J226" s="1"/>
      <c r="K226" s="15" t="s">
        <v>43</v>
      </c>
      <c r="L226" s="12"/>
      <c r="M226" s="107"/>
      <c r="N226" s="107" t="n">
        <v>1.25</v>
      </c>
      <c r="O226" s="107"/>
      <c r="P226" s="107" t="n">
        <v>1.25</v>
      </c>
      <c r="Q226" s="107" t="n">
        <v>1.25</v>
      </c>
      <c r="R226" s="107" t="n">
        <v>1.25</v>
      </c>
    </row>
    <row r="227" customFormat="false" ht="13.8" hidden="false" customHeight="false" outlineLevel="0" collapsed="false">
      <c r="A227" s="1"/>
      <c r="B227" s="1"/>
      <c r="C227" s="1"/>
      <c r="D227" s="1"/>
      <c r="E227" s="1"/>
      <c r="F227" s="1"/>
      <c r="I227" s="1"/>
      <c r="J227" s="1"/>
      <c r="K227" s="1"/>
      <c r="L227" s="12"/>
      <c r="M227" s="1"/>
      <c r="N227" s="1"/>
      <c r="O227" s="1"/>
      <c r="P227" s="1"/>
      <c r="Q227" s="1"/>
      <c r="R227" s="1"/>
    </row>
    <row r="228" customFormat="false" ht="13.8" hidden="false" customHeight="false" outlineLevel="0" collapsed="false">
      <c r="A228" s="1"/>
      <c r="B228" s="1"/>
      <c r="C228" s="14" t="s">
        <v>40</v>
      </c>
      <c r="D228" s="1"/>
      <c r="E228" s="1"/>
      <c r="J228" s="1"/>
      <c r="K228" s="1"/>
      <c r="L228" s="12"/>
    </row>
    <row r="229" customFormat="false" ht="13.8" hidden="false" customHeight="false" outlineLevel="0" collapsed="false">
      <c r="A229" s="1"/>
      <c r="B229" s="1"/>
      <c r="C229" s="1" t="s">
        <v>306</v>
      </c>
      <c r="D229" s="1"/>
      <c r="E229" s="1"/>
      <c r="F229" s="1"/>
      <c r="I229" s="1"/>
      <c r="J229" s="1"/>
      <c r="K229" s="15" t="s">
        <v>33</v>
      </c>
      <c r="L229" s="12"/>
      <c r="M229" s="89"/>
      <c r="N229" s="89" t="n">
        <v>0.9</v>
      </c>
      <c r="O229" s="89"/>
      <c r="P229" s="89" t="n">
        <v>0.9</v>
      </c>
      <c r="Q229" s="89" t="n">
        <v>0.9</v>
      </c>
      <c r="R229" s="89" t="n">
        <v>0.9</v>
      </c>
    </row>
    <row r="230" customFormat="false" ht="14.9" hidden="false" customHeight="false" outlineLevel="0" collapsed="false">
      <c r="C230" s="1" t="s">
        <v>307</v>
      </c>
      <c r="K230" s="15" t="s">
        <v>109</v>
      </c>
      <c r="L230" s="12"/>
      <c r="M230" s="63"/>
      <c r="N230" s="63" t="b">
        <f aca="false">FALSE()</f>
        <v>0</v>
      </c>
      <c r="O230" s="63"/>
      <c r="P230" s="63" t="b">
        <f aca="false">FALSE()</f>
        <v>0</v>
      </c>
      <c r="Q230" s="63" t="b">
        <f aca="false">FALSE()</f>
        <v>0</v>
      </c>
      <c r="R230" s="63" t="b">
        <f aca="false">FALSE()</f>
        <v>0</v>
      </c>
    </row>
    <row r="231" customFormat="false" ht="13.8" hidden="false" customHeight="false" outlineLevel="0" collapsed="false">
      <c r="L231" s="12"/>
    </row>
    <row r="232" customFormat="false" ht="13.8" hidden="false" customHeight="false" outlineLevel="0" collapsed="false">
      <c r="A232" s="1"/>
      <c r="B232" s="1"/>
      <c r="C232" s="14" t="s">
        <v>308</v>
      </c>
      <c r="D232" s="1"/>
      <c r="E232" s="1"/>
      <c r="F232" s="1"/>
      <c r="I232" s="1"/>
      <c r="J232" s="1"/>
      <c r="K232" s="1"/>
      <c r="L232" s="12"/>
      <c r="M232" s="1"/>
      <c r="N232" s="1"/>
      <c r="O232" s="1"/>
      <c r="P232" s="1"/>
      <c r="Q232" s="1"/>
      <c r="R232" s="1"/>
    </row>
    <row r="233" customFormat="false" ht="13.8" hidden="false" customHeight="false" outlineLevel="0" collapsed="false">
      <c r="A233" s="1"/>
      <c r="B233" s="1"/>
      <c r="C233" s="1" t="s">
        <v>308</v>
      </c>
      <c r="D233" s="1"/>
      <c r="E233" s="1"/>
      <c r="F233" s="1"/>
      <c r="I233" s="1"/>
      <c r="J233" s="1"/>
      <c r="K233" s="15" t="s">
        <v>108</v>
      </c>
      <c r="L233" s="12"/>
      <c r="M233" s="21" t="e">
        <f aca="false">IF(Phase&lt;&gt;9,_xlfn.MAXIFS(#REF!,Perimeter_Asset,M5,Phase_Asset,Phase),_xlfn.MAXIFS(#REF!,Perimeter_Asset,M5))</f>
        <v>#VALUE!</v>
      </c>
      <c r="N233" s="21" t="e">
        <f aca="false">IF(Phase&lt;&gt;9,_xlfn.MAXIFS(#REF!,Perimeter_Asset,N5,Phase_Asset,Phase),_xlfn.MAXIFS(#REF!,Perimeter_Asset,N5))</f>
        <v>#VALUE!</v>
      </c>
      <c r="O233" s="21"/>
      <c r="P233" s="21" t="e">
        <f aca="false">IF(Phase&lt;&gt;9,_xlfn.MAXIFS(#REF!,Perimeter_Asset,P5,Phase_Asset,Phase),_xlfn.MAXIFS(#REF!,Perimeter_Asset,P5))</f>
        <v>#VALUE!</v>
      </c>
      <c r="Q233" s="21" t="e">
        <f aca="false">IF(Phase&lt;&gt;9,_xlfn.MAXIFS(#REF!,Perimeter_Asset,Q5,Phase_Asset,Phase),_xlfn.MAXIFS(#REF!,Perimeter_Asset,Q5))</f>
        <v>#VALUE!</v>
      </c>
      <c r="R233" s="21" t="e">
        <f aca="false">IF(Phase&lt;&gt;9,_xlfn.MAXIFS(#REF!,Perimeter_Asset,R5,Phase_Asset,Phase),_xlfn.MAXIFS(#REF!,Perimeter_Asset,R5))</f>
        <v>#VALUE!</v>
      </c>
    </row>
    <row r="234" customFormat="false" ht="14.9" hidden="false" customHeight="false" outlineLevel="0" collapsed="false">
      <c r="A234" s="1"/>
      <c r="B234" s="1"/>
      <c r="C234" s="1" t="s">
        <v>309</v>
      </c>
      <c r="D234" s="1"/>
      <c r="E234" s="1"/>
      <c r="F234" s="1"/>
      <c r="I234" s="1"/>
      <c r="J234" s="1"/>
      <c r="K234" s="15" t="s">
        <v>109</v>
      </c>
      <c r="L234" s="12"/>
      <c r="M234" s="63"/>
      <c r="N234" s="63" t="b">
        <f aca="false">FALSE()</f>
        <v>0</v>
      </c>
      <c r="O234" s="63"/>
      <c r="P234" s="63" t="b">
        <f aca="false">FALSE()</f>
        <v>0</v>
      </c>
      <c r="Q234" s="63" t="b">
        <f aca="false">FALSE()</f>
        <v>0</v>
      </c>
      <c r="R234" s="63" t="b">
        <f aca="false">FALSE()</f>
        <v>0</v>
      </c>
    </row>
    <row r="235" customFormat="false" ht="13.8" hidden="false" customHeight="false" outlineLevel="0" collapsed="false">
      <c r="A235" s="1"/>
      <c r="B235" s="1"/>
      <c r="C235" s="1"/>
      <c r="D235" s="1"/>
      <c r="E235" s="1"/>
      <c r="F235" s="1"/>
      <c r="I235" s="1"/>
      <c r="J235" s="1"/>
      <c r="K235" s="1"/>
      <c r="L235" s="12"/>
    </row>
    <row r="236" customFormat="false" ht="13.8" hidden="false" customHeight="false" outlineLevel="0" collapsed="false">
      <c r="A236" s="1"/>
      <c r="B236" s="1"/>
      <c r="C236" s="14" t="s">
        <v>310</v>
      </c>
      <c r="D236" s="1"/>
      <c r="E236" s="1"/>
      <c r="F236" s="1"/>
      <c r="I236" s="1"/>
      <c r="J236" s="1"/>
      <c r="K236" s="1"/>
      <c r="L236" s="12"/>
    </row>
    <row r="237" customFormat="false" ht="14.9" hidden="false" customHeight="false" outlineLevel="0" collapsed="false">
      <c r="A237" s="1"/>
      <c r="B237" s="1"/>
      <c r="C237" s="1" t="s">
        <v>311</v>
      </c>
      <c r="D237" s="1"/>
      <c r="E237" s="1"/>
      <c r="F237" s="1"/>
      <c r="I237" s="1"/>
      <c r="J237" s="1"/>
      <c r="K237" s="15" t="s">
        <v>109</v>
      </c>
      <c r="L237" s="12"/>
      <c r="M237" s="63"/>
      <c r="N237" s="63" t="b">
        <f aca="false">FALSE()</f>
        <v>0</v>
      </c>
      <c r="O237" s="63"/>
      <c r="P237" s="63" t="b">
        <f aca="false">FALSE()</f>
        <v>0</v>
      </c>
      <c r="Q237" s="63" t="b">
        <f aca="false">FALSE()</f>
        <v>0</v>
      </c>
      <c r="R237" s="63" t="b">
        <f aca="false">FALSE()</f>
        <v>0</v>
      </c>
    </row>
    <row r="238" customFormat="false" ht="13.8" hidden="false" customHeight="false" outlineLevel="0" collapsed="false">
      <c r="C238" s="1" t="s">
        <v>312</v>
      </c>
      <c r="K238" s="15" t="s">
        <v>109</v>
      </c>
      <c r="L238" s="12"/>
      <c r="M238" s="63"/>
      <c r="N238" s="63"/>
      <c r="O238" s="63"/>
      <c r="P238" s="63"/>
      <c r="Q238" s="63"/>
      <c r="R238" s="63"/>
    </row>
    <row r="239" customFormat="false" ht="13.8" hidden="false" customHeight="false" outlineLevel="0" collapsed="false">
      <c r="C239" s="1" t="s">
        <v>313</v>
      </c>
      <c r="K239" s="15" t="s">
        <v>12</v>
      </c>
      <c r="L239" s="12"/>
      <c r="M239" s="93"/>
      <c r="N239" s="93"/>
      <c r="O239" s="93"/>
      <c r="P239" s="93"/>
      <c r="Q239" s="93"/>
      <c r="R239" s="93"/>
    </row>
    <row r="240" customFormat="false" ht="13.8" hidden="false" customHeight="false" outlineLevel="0" collapsed="false">
      <c r="C240" s="1" t="s">
        <v>314</v>
      </c>
      <c r="K240" s="15" t="s">
        <v>25</v>
      </c>
      <c r="L240" s="12"/>
      <c r="M240" s="66"/>
      <c r="N240" s="66"/>
      <c r="O240" s="66"/>
      <c r="P240" s="66"/>
      <c r="Q240" s="66"/>
      <c r="R240" s="66"/>
    </row>
    <row r="241" customFormat="false" ht="13.8" hidden="false" customHeight="false" outlineLevel="0" collapsed="false">
      <c r="A241" s="1"/>
      <c r="B241" s="1"/>
      <c r="C241" s="1" t="s">
        <v>315</v>
      </c>
      <c r="D241" s="1"/>
      <c r="E241" s="1"/>
      <c r="F241" s="1"/>
      <c r="I241" s="1"/>
      <c r="J241" s="1"/>
      <c r="K241" s="15" t="s">
        <v>108</v>
      </c>
      <c r="L241" s="12"/>
      <c r="M241" s="94"/>
      <c r="N241" s="94"/>
      <c r="O241" s="94"/>
      <c r="P241" s="94"/>
      <c r="Q241" s="94"/>
      <c r="R241" s="94"/>
    </row>
    <row r="242" customFormat="false" ht="13.8" hidden="false" customHeight="false" outlineLevel="0" collapsed="false">
      <c r="A242" s="1"/>
      <c r="B242" s="1"/>
      <c r="C242" s="1" t="s">
        <v>316</v>
      </c>
      <c r="D242" s="1"/>
      <c r="E242" s="1"/>
      <c r="F242" s="1"/>
      <c r="I242" s="1"/>
      <c r="J242" s="1"/>
      <c r="K242" s="15" t="s">
        <v>33</v>
      </c>
      <c r="L242" s="12"/>
      <c r="M242" s="89"/>
      <c r="N242" s="89"/>
      <c r="O242" s="89"/>
      <c r="P242" s="89"/>
      <c r="Q242" s="89"/>
      <c r="R242" s="89"/>
    </row>
    <row r="243" customFormat="false" ht="13.8" hidden="false" customHeight="false" outlineLevel="0" collapsed="false">
      <c r="A243" s="1"/>
      <c r="B243" s="1"/>
      <c r="C243" s="1"/>
      <c r="D243" s="1"/>
      <c r="E243" s="1"/>
      <c r="F243" s="1"/>
      <c r="I243" s="1"/>
      <c r="J243" s="1"/>
      <c r="K243" s="1"/>
      <c r="L243" s="12"/>
    </row>
    <row r="244" customFormat="false" ht="13.8" hidden="false" customHeight="false" outlineLevel="0" collapsed="false">
      <c r="A244" s="1"/>
      <c r="B244" s="1"/>
      <c r="C244" s="14" t="s">
        <v>317</v>
      </c>
      <c r="D244" s="1"/>
      <c r="E244" s="1"/>
      <c r="F244" s="1"/>
      <c r="I244" s="1"/>
      <c r="J244" s="1"/>
      <c r="K244" s="15" t="s">
        <v>43</v>
      </c>
      <c r="L244" s="12"/>
      <c r="M244" s="107"/>
      <c r="N244" s="107" t="n">
        <v>1.1</v>
      </c>
      <c r="O244" s="107"/>
      <c r="P244" s="107" t="n">
        <v>1.1</v>
      </c>
      <c r="Q244" s="107" t="n">
        <v>1.1</v>
      </c>
      <c r="R244" s="107" t="n">
        <v>1.1</v>
      </c>
    </row>
    <row r="245" customFormat="false" ht="13.8" hidden="false" customHeight="false" outlineLevel="0" collapsed="false">
      <c r="A245" s="1"/>
      <c r="B245" s="1"/>
      <c r="C245" s="1"/>
      <c r="D245" s="1"/>
      <c r="E245" s="1"/>
      <c r="F245" s="1"/>
      <c r="I245" s="1"/>
      <c r="J245" s="1"/>
      <c r="K245" s="1"/>
      <c r="L245" s="12"/>
      <c r="M245" s="1"/>
      <c r="N245" s="1"/>
      <c r="O245" s="1"/>
      <c r="P245" s="1"/>
      <c r="Q245" s="1"/>
      <c r="R245" s="1"/>
    </row>
    <row r="246" customFormat="false" ht="13.8" hidden="false" customHeight="false" outlineLevel="0" collapsed="false">
      <c r="A246" s="1"/>
      <c r="B246" s="1"/>
      <c r="C246" s="6" t="s">
        <v>56</v>
      </c>
      <c r="D246" s="1"/>
      <c r="E246" s="1"/>
      <c r="F246" s="1"/>
      <c r="I246" s="1"/>
      <c r="J246" s="1"/>
      <c r="K246" s="1"/>
      <c r="L246" s="12"/>
    </row>
    <row r="247" customFormat="false" ht="13.8" hidden="false" customHeight="false" outlineLevel="0" collapsed="false">
      <c r="A247" s="1"/>
      <c r="B247" s="1"/>
      <c r="C247" s="14" t="s">
        <v>291</v>
      </c>
      <c r="D247" s="1"/>
      <c r="E247" s="1"/>
      <c r="F247" s="1"/>
      <c r="I247" s="1"/>
      <c r="J247" s="1"/>
      <c r="K247" s="1"/>
      <c r="L247" s="12"/>
      <c r="M247" s="1"/>
      <c r="N247" s="1"/>
      <c r="O247" s="1"/>
      <c r="P247" s="1"/>
      <c r="Q247" s="1"/>
      <c r="R247" s="1"/>
    </row>
    <row r="248" customFormat="false" ht="13.8" hidden="false" customHeight="false" outlineLevel="0" collapsed="false">
      <c r="A248" s="1"/>
      <c r="C248" s="5" t="str">
        <f aca="false">"Debt fixed amount activation - phase "&amp;I57</f>
        <v>Debt fixed amount activation - phase 1</v>
      </c>
      <c r="K248" s="15" t="s">
        <v>109</v>
      </c>
      <c r="L248" s="12"/>
      <c r="M248" s="63"/>
      <c r="N248" s="63"/>
      <c r="O248" s="63"/>
      <c r="P248" s="63"/>
      <c r="Q248" s="63"/>
      <c r="R248" s="63"/>
    </row>
    <row r="249" customFormat="false" ht="13.8" hidden="false" customHeight="false" outlineLevel="0" collapsed="false">
      <c r="A249" s="1"/>
      <c r="C249" s="5" t="str">
        <f aca="false">"Debt fixed amount activation - phase "&amp;I58</f>
        <v>Debt fixed amount activation - phase 2</v>
      </c>
      <c r="K249" s="15" t="s">
        <v>109</v>
      </c>
      <c r="L249" s="12"/>
      <c r="M249" s="63"/>
      <c r="N249" s="63"/>
      <c r="O249" s="63"/>
      <c r="P249" s="63"/>
      <c r="Q249" s="63"/>
      <c r="R249" s="63"/>
    </row>
    <row r="250" customFormat="false" ht="13.8" hidden="false" customHeight="false" outlineLevel="0" collapsed="false">
      <c r="C250" s="5" t="str">
        <f aca="false">"Debt fixed amount activation - phase "&amp;I59</f>
        <v>Debt fixed amount activation - phase 3</v>
      </c>
      <c r="K250" s="15" t="s">
        <v>109</v>
      </c>
      <c r="L250" s="12"/>
      <c r="M250" s="63"/>
      <c r="N250" s="63"/>
      <c r="O250" s="63"/>
      <c r="P250" s="63"/>
      <c r="Q250" s="63"/>
      <c r="R250" s="63"/>
    </row>
    <row r="251" customFormat="false" ht="13.8" hidden="false" customHeight="false" outlineLevel="0" collapsed="false">
      <c r="C251" s="5" t="str">
        <f aca="false">"Debt fixed amount activation - phase "&amp;I60</f>
        <v>Debt fixed amount activation - phase 4</v>
      </c>
      <c r="K251" s="15" t="s">
        <v>109</v>
      </c>
      <c r="L251" s="12"/>
      <c r="M251" s="63"/>
      <c r="N251" s="63"/>
      <c r="O251" s="63"/>
      <c r="P251" s="63"/>
      <c r="Q251" s="63"/>
      <c r="R251" s="63"/>
    </row>
    <row r="252" customFormat="false" ht="13.8" hidden="false" customHeight="false" outlineLevel="0" collapsed="false">
      <c r="C252" s="5" t="str">
        <f aca="false">"Debt fixed amount activation - phase "&amp;I61</f>
        <v>Debt fixed amount activation - phase 5</v>
      </c>
      <c r="K252" s="15" t="s">
        <v>109</v>
      </c>
      <c r="L252" s="12"/>
      <c r="M252" s="63"/>
      <c r="N252" s="63"/>
      <c r="O252" s="63"/>
      <c r="P252" s="63"/>
      <c r="Q252" s="63"/>
      <c r="R252" s="63"/>
    </row>
    <row r="253" customFormat="false" ht="13.8" hidden="false" customHeight="false" outlineLevel="0" collapsed="false">
      <c r="C253" s="5" t="str">
        <f aca="false">"Debt fixed amount activation - phase "&amp;I62</f>
        <v>Debt fixed amount activation - phase 6</v>
      </c>
      <c r="K253" s="15" t="s">
        <v>109</v>
      </c>
      <c r="L253" s="12"/>
      <c r="M253" s="63"/>
      <c r="N253" s="63"/>
      <c r="O253" s="63"/>
      <c r="P253" s="63"/>
      <c r="Q253" s="63"/>
      <c r="R253" s="63"/>
    </row>
    <row r="254" customFormat="false" ht="13.8" hidden="false" customHeight="false" outlineLevel="0" collapsed="false">
      <c r="C254" s="5" t="str">
        <f aca="false">"Debt fixed amount activation - phase "&amp;I63</f>
        <v>Debt fixed amount activation - phase 7</v>
      </c>
      <c r="K254" s="15" t="s">
        <v>109</v>
      </c>
      <c r="L254" s="12"/>
      <c r="M254" s="63"/>
      <c r="N254" s="63"/>
      <c r="O254" s="63"/>
      <c r="P254" s="63"/>
      <c r="Q254" s="63"/>
      <c r="R254" s="63"/>
    </row>
    <row r="255" customFormat="false" ht="13.8" hidden="false" customHeight="false" outlineLevel="0" collapsed="false">
      <c r="C255" s="5" t="str">
        <f aca="false">"Debt fixed amount activation - phase "&amp;I64</f>
        <v>Debt fixed amount activation - phase 8</v>
      </c>
      <c r="K255" s="15" t="s">
        <v>109</v>
      </c>
      <c r="L255" s="12"/>
      <c r="M255" s="63"/>
      <c r="N255" s="63"/>
      <c r="O255" s="63"/>
      <c r="P255" s="63"/>
      <c r="Q255" s="63"/>
      <c r="R255" s="63"/>
    </row>
    <row r="256" customFormat="false" ht="13.8" hidden="false" customHeight="false" outlineLevel="0" collapsed="false">
      <c r="C256" s="5" t="str">
        <f aca="false">"Debt fixed amount - phase "&amp;I57</f>
        <v>Debt fixed amount - phase 1</v>
      </c>
      <c r="K256" s="15" t="s">
        <v>12</v>
      </c>
      <c r="L256" s="12"/>
      <c r="M256" s="106"/>
      <c r="N256" s="106"/>
      <c r="O256" s="106"/>
      <c r="P256" s="106"/>
      <c r="Q256" s="106"/>
      <c r="R256" s="106"/>
    </row>
    <row r="257" customFormat="false" ht="13.8" hidden="false" customHeight="false" outlineLevel="0" collapsed="false">
      <c r="C257" s="5" t="str">
        <f aca="false">"Debt fixed amount - phase "&amp;I58</f>
        <v>Debt fixed amount - phase 2</v>
      </c>
      <c r="K257" s="15" t="s">
        <v>12</v>
      </c>
      <c r="L257" s="12"/>
      <c r="M257" s="93"/>
      <c r="N257" s="93"/>
      <c r="O257" s="93"/>
      <c r="P257" s="93"/>
      <c r="Q257" s="93"/>
      <c r="R257" s="93"/>
    </row>
    <row r="258" customFormat="false" ht="13.8" hidden="false" customHeight="false" outlineLevel="0" collapsed="false">
      <c r="C258" s="5" t="str">
        <f aca="false">"Debt fixed amount - phase "&amp;I59</f>
        <v>Debt fixed amount - phase 3</v>
      </c>
      <c r="K258" s="15" t="s">
        <v>12</v>
      </c>
      <c r="L258" s="12"/>
      <c r="M258" s="93"/>
      <c r="N258" s="93"/>
      <c r="O258" s="93"/>
      <c r="P258" s="93"/>
      <c r="Q258" s="93"/>
      <c r="R258" s="93"/>
    </row>
    <row r="259" customFormat="false" ht="13.8" hidden="false" customHeight="false" outlineLevel="0" collapsed="false">
      <c r="C259" s="5" t="str">
        <f aca="false">"Debt fixed amount - phase "&amp;I60</f>
        <v>Debt fixed amount - phase 4</v>
      </c>
      <c r="K259" s="15" t="s">
        <v>12</v>
      </c>
      <c r="L259" s="12"/>
      <c r="M259" s="93"/>
      <c r="N259" s="93"/>
      <c r="O259" s="93"/>
      <c r="P259" s="93"/>
      <c r="Q259" s="93"/>
      <c r="R259" s="93"/>
    </row>
    <row r="260" customFormat="false" ht="13.8" hidden="false" customHeight="false" outlineLevel="0" collapsed="false">
      <c r="C260" s="5" t="str">
        <f aca="false">"Debt fixed amount - phase "&amp;I61</f>
        <v>Debt fixed amount - phase 5</v>
      </c>
      <c r="K260" s="15" t="s">
        <v>12</v>
      </c>
      <c r="L260" s="12"/>
      <c r="M260" s="93"/>
      <c r="N260" s="93"/>
      <c r="O260" s="93"/>
      <c r="P260" s="93"/>
      <c r="Q260" s="93"/>
      <c r="R260" s="93"/>
    </row>
    <row r="261" customFormat="false" ht="13.8" hidden="false" customHeight="false" outlineLevel="0" collapsed="false">
      <c r="C261" s="5" t="str">
        <f aca="false">"Debt fixed amount - phase "&amp;I62</f>
        <v>Debt fixed amount - phase 6</v>
      </c>
      <c r="K261" s="15" t="s">
        <v>12</v>
      </c>
      <c r="L261" s="12"/>
      <c r="M261" s="93"/>
      <c r="N261" s="93"/>
      <c r="O261" s="93"/>
      <c r="P261" s="93"/>
      <c r="Q261" s="93"/>
      <c r="R261" s="93"/>
    </row>
    <row r="262" customFormat="false" ht="13.8" hidden="false" customHeight="false" outlineLevel="0" collapsed="false">
      <c r="C262" s="5" t="str">
        <f aca="false">"Debt fixed amount - phase "&amp;I63</f>
        <v>Debt fixed amount - phase 7</v>
      </c>
      <c r="K262" s="15" t="s">
        <v>12</v>
      </c>
      <c r="L262" s="12"/>
      <c r="M262" s="93"/>
      <c r="N262" s="93"/>
      <c r="O262" s="93"/>
      <c r="P262" s="93"/>
      <c r="Q262" s="93"/>
      <c r="R262" s="93"/>
    </row>
    <row r="263" customFormat="false" ht="13.8" hidden="false" customHeight="false" outlineLevel="0" collapsed="false">
      <c r="C263" s="5" t="str">
        <f aca="false">"Debt fixed amount - phase "&amp;I64</f>
        <v>Debt fixed amount - phase 8</v>
      </c>
      <c r="K263" s="15" t="s">
        <v>12</v>
      </c>
      <c r="L263" s="12"/>
      <c r="M263" s="93"/>
      <c r="N263" s="93"/>
      <c r="O263" s="93"/>
      <c r="P263" s="93"/>
      <c r="Q263" s="93"/>
      <c r="R263" s="93"/>
    </row>
    <row r="264" customFormat="false" ht="13.8" hidden="false" customHeight="false" outlineLevel="0" collapsed="false">
      <c r="A264" s="1"/>
      <c r="L264" s="90"/>
    </row>
    <row r="265" customFormat="false" ht="13.8" hidden="false" customHeight="false" outlineLevel="0" collapsed="false">
      <c r="A265" s="1"/>
      <c r="B265" s="1"/>
      <c r="C265" s="1" t="s">
        <v>318</v>
      </c>
      <c r="D265" s="1"/>
      <c r="E265" s="1"/>
      <c r="F265" s="1"/>
      <c r="I265" s="1"/>
      <c r="J265" s="1"/>
      <c r="K265" s="15" t="s">
        <v>80</v>
      </c>
      <c r="L265" s="12"/>
      <c r="M265" s="94"/>
      <c r="N265" s="94" t="s">
        <v>319</v>
      </c>
      <c r="O265" s="94"/>
      <c r="P265" s="94" t="s">
        <v>319</v>
      </c>
      <c r="Q265" s="94" t="s">
        <v>319</v>
      </c>
      <c r="R265" s="94" t="s">
        <v>319</v>
      </c>
    </row>
    <row r="266" customFormat="false" ht="13.8" hidden="false" customHeight="false" outlineLevel="0" collapsed="false">
      <c r="A266" s="1"/>
      <c r="B266" s="1"/>
      <c r="C266" s="1" t="s">
        <v>320</v>
      </c>
      <c r="D266" s="1"/>
      <c r="E266" s="1"/>
      <c r="F266" s="1"/>
      <c r="I266" s="1"/>
      <c r="J266" s="1"/>
      <c r="K266" s="15" t="s">
        <v>108</v>
      </c>
      <c r="L266" s="12"/>
      <c r="M266" s="64"/>
      <c r="N266" s="64" t="n">
        <v>3</v>
      </c>
      <c r="O266" s="64"/>
      <c r="P266" s="64" t="n">
        <v>3</v>
      </c>
      <c r="Q266" s="64" t="n">
        <v>3</v>
      </c>
      <c r="R266" s="64" t="n">
        <v>3</v>
      </c>
    </row>
    <row r="267" customFormat="false" ht="13.8" hidden="false" customHeight="false" outlineLevel="0" collapsed="false">
      <c r="A267" s="1"/>
      <c r="B267" s="1"/>
      <c r="C267" s="1" t="s">
        <v>321</v>
      </c>
      <c r="D267" s="1"/>
      <c r="E267" s="1"/>
      <c r="F267" s="1"/>
      <c r="I267" s="1"/>
      <c r="J267" s="1"/>
      <c r="K267" s="15" t="s">
        <v>322</v>
      </c>
      <c r="L267" s="12"/>
      <c r="M267" s="16" t="n">
        <f aca="false">IFERROR(M266/ass_Model!$M$10,0)</f>
        <v>0</v>
      </c>
      <c r="N267" s="16" t="n">
        <f aca="false">IFERROR(N266/ass_Model!$M$10,0)</f>
        <v>0.25</v>
      </c>
      <c r="O267" s="16"/>
      <c r="P267" s="16" t="n">
        <f aca="false">IFERROR(P266/ass_Model!$M$10,0)</f>
        <v>0.25</v>
      </c>
      <c r="Q267" s="16" t="n">
        <f aca="false">IFERROR(Q266/ass_Model!$M$10,0)</f>
        <v>0.25</v>
      </c>
      <c r="R267" s="16" t="n">
        <f aca="false">IFERROR(R266/ass_Model!$M$10,0)</f>
        <v>0.25</v>
      </c>
    </row>
    <row r="268" customFormat="false" ht="13.8" hidden="false" customHeight="false" outlineLevel="0" collapsed="false">
      <c r="A268" s="1"/>
      <c r="B268" s="1"/>
      <c r="C268" s="1"/>
      <c r="D268" s="1"/>
      <c r="E268" s="1"/>
      <c r="F268" s="1"/>
      <c r="I268" s="1"/>
      <c r="J268" s="1"/>
      <c r="K268" s="1"/>
      <c r="L268" s="12"/>
      <c r="M268" s="1"/>
      <c r="N268" s="1"/>
      <c r="O268" s="1"/>
      <c r="P268" s="1"/>
      <c r="Q268" s="1"/>
      <c r="R268" s="1"/>
    </row>
    <row r="269" customFormat="false" ht="13.8" hidden="false" customHeight="false" outlineLevel="0" collapsed="false">
      <c r="A269" s="1"/>
      <c r="B269" s="1"/>
      <c r="C269" s="14" t="s">
        <v>323</v>
      </c>
      <c r="D269" s="1"/>
      <c r="E269" s="1"/>
      <c r="F269" s="1"/>
      <c r="I269" s="1"/>
      <c r="J269" s="1"/>
      <c r="K269" s="1"/>
      <c r="L269" s="12"/>
      <c r="M269" s="1"/>
      <c r="N269" s="1"/>
      <c r="O269" s="1"/>
      <c r="P269" s="1"/>
      <c r="Q269" s="1"/>
      <c r="R269" s="1"/>
    </row>
    <row r="270" customFormat="false" ht="13.8" hidden="false" customHeight="false" outlineLevel="0" collapsed="false">
      <c r="A270" s="1"/>
      <c r="B270" s="1"/>
      <c r="C270" s="1" t="s">
        <v>272</v>
      </c>
      <c r="D270" s="1"/>
      <c r="E270" s="1"/>
      <c r="F270" s="1"/>
      <c r="I270" s="1"/>
      <c r="J270" s="1"/>
      <c r="K270" s="15" t="s">
        <v>33</v>
      </c>
      <c r="L270" s="12"/>
      <c r="M270" s="63"/>
      <c r="N270" s="63" t="n">
        <v>0.014</v>
      </c>
      <c r="O270" s="63"/>
      <c r="P270" s="63" t="n">
        <v>0.014</v>
      </c>
      <c r="Q270" s="63" t="n">
        <v>0.014</v>
      </c>
      <c r="R270" s="63" t="n">
        <v>0.014</v>
      </c>
    </row>
    <row r="271" customFormat="false" ht="13.8" hidden="false" customHeight="false" outlineLevel="0" collapsed="false">
      <c r="A271" s="1"/>
      <c r="B271" s="1"/>
      <c r="C271" s="1" t="s">
        <v>324</v>
      </c>
      <c r="D271" s="1"/>
      <c r="E271" s="1"/>
      <c r="F271" s="1"/>
      <c r="I271" s="1"/>
      <c r="J271" s="1"/>
      <c r="K271" s="15" t="s">
        <v>80</v>
      </c>
      <c r="L271" s="12"/>
      <c r="M271" s="63"/>
      <c r="N271" s="63" t="s">
        <v>268</v>
      </c>
      <c r="O271" s="63"/>
      <c r="P271" s="63" t="s">
        <v>268</v>
      </c>
      <c r="Q271" s="63" t="s">
        <v>268</v>
      </c>
      <c r="R271" s="63" t="s">
        <v>268</v>
      </c>
    </row>
    <row r="272" customFormat="false" ht="13.8" hidden="false" customHeight="false" outlineLevel="0" collapsed="false">
      <c r="A272" s="1"/>
      <c r="B272" s="1"/>
      <c r="C272" s="1" t="s">
        <v>271</v>
      </c>
      <c r="D272" s="1"/>
      <c r="E272" s="1"/>
      <c r="F272" s="1"/>
      <c r="I272" s="1"/>
      <c r="J272" s="1"/>
      <c r="K272" s="15" t="s">
        <v>80</v>
      </c>
      <c r="L272" s="12"/>
      <c r="M272" s="63"/>
      <c r="N272" s="63" t="s">
        <v>272</v>
      </c>
      <c r="O272" s="63"/>
      <c r="P272" s="63" t="s">
        <v>272</v>
      </c>
      <c r="Q272" s="63" t="s">
        <v>272</v>
      </c>
      <c r="R272" s="63" t="s">
        <v>272</v>
      </c>
    </row>
    <row r="273" customFormat="false" ht="13.8" hidden="false" customHeight="false" outlineLevel="0" collapsed="false">
      <c r="A273" s="1"/>
      <c r="B273" s="1"/>
      <c r="C273" s="1" t="s">
        <v>325</v>
      </c>
      <c r="D273" s="1"/>
      <c r="E273" s="1"/>
      <c r="F273" s="1"/>
      <c r="I273" s="1"/>
      <c r="J273" s="1"/>
      <c r="K273" s="15" t="s">
        <v>33</v>
      </c>
      <c r="L273" s="12"/>
      <c r="M273" s="18" t="n">
        <f aca="false">IF(M272="Zero",0,-M270)</f>
        <v>-0</v>
      </c>
      <c r="N273" s="18" t="n">
        <f aca="false">IF(N272="Zero",0,-N270)</f>
        <v>-0.014</v>
      </c>
      <c r="O273" s="18"/>
      <c r="P273" s="18" t="n">
        <f aca="false">IF(P272="Zero",0,-P270)</f>
        <v>-0.014</v>
      </c>
      <c r="Q273" s="18" t="n">
        <f aca="false">IF(Q272="Zero",0,-Q270)</f>
        <v>-0.014</v>
      </c>
      <c r="R273" s="18" t="n">
        <f aca="false">IF(R272="Zero",0,-R270)</f>
        <v>-0.014</v>
      </c>
    </row>
    <row r="274" customFormat="false" ht="13.8" hidden="false" customHeight="false" outlineLevel="0" collapsed="false">
      <c r="C274" s="1" t="s">
        <v>270</v>
      </c>
      <c r="K274" s="15" t="s">
        <v>80</v>
      </c>
      <c r="L274" s="90"/>
      <c r="M274" s="94"/>
      <c r="N274" s="94" t="n">
        <v>360</v>
      </c>
      <c r="O274" s="94"/>
      <c r="P274" s="94" t="n">
        <v>360</v>
      </c>
      <c r="Q274" s="94" t="n">
        <v>360</v>
      </c>
      <c r="R274" s="94" t="n">
        <v>360</v>
      </c>
    </row>
    <row r="275" customFormat="false" ht="13.8" hidden="false" customHeight="false" outlineLevel="0" collapsed="false">
      <c r="A275" s="1"/>
      <c r="B275" s="1"/>
      <c r="C275" s="1"/>
      <c r="D275" s="1"/>
      <c r="E275" s="1"/>
      <c r="F275" s="1"/>
      <c r="I275" s="1"/>
      <c r="J275" s="1"/>
      <c r="K275" s="1"/>
      <c r="L275" s="12"/>
      <c r="M275" s="1"/>
      <c r="N275" s="1"/>
      <c r="O275" s="1"/>
      <c r="P275" s="1"/>
      <c r="Q275" s="1"/>
      <c r="R275" s="1"/>
    </row>
    <row r="276" customFormat="false" ht="13.8" hidden="false" customHeight="false" outlineLevel="0" collapsed="false">
      <c r="A276" s="1"/>
      <c r="B276" s="1"/>
      <c r="C276" s="14" t="s">
        <v>326</v>
      </c>
      <c r="D276" s="1"/>
      <c r="E276" s="1"/>
      <c r="F276" s="1"/>
      <c r="I276" s="1"/>
      <c r="J276" s="1"/>
      <c r="K276" s="1"/>
      <c r="L276" s="12"/>
      <c r="M276" s="1"/>
      <c r="N276" s="1"/>
      <c r="O276" s="1"/>
      <c r="P276" s="1"/>
      <c r="Q276" s="1"/>
      <c r="R276" s="1"/>
    </row>
    <row r="277" customFormat="false" ht="13.8" hidden="false" customHeight="false" outlineLevel="0" collapsed="false">
      <c r="A277" s="1"/>
      <c r="B277" s="1"/>
      <c r="C277" s="1" t="s">
        <v>327</v>
      </c>
      <c r="D277" s="1"/>
      <c r="E277" s="1"/>
      <c r="F277" s="1"/>
      <c r="K277" s="15" t="s">
        <v>33</v>
      </c>
      <c r="L277" s="12"/>
      <c r="M277" s="108"/>
      <c r="N277" s="108" t="n">
        <v>0.3</v>
      </c>
      <c r="O277" s="108"/>
      <c r="P277" s="108" t="n">
        <v>0.3</v>
      </c>
      <c r="Q277" s="108" t="n">
        <v>0.3</v>
      </c>
      <c r="R277" s="108" t="n">
        <v>0.3</v>
      </c>
    </row>
    <row r="278" customFormat="false" ht="13.8" hidden="false" customHeight="false" outlineLevel="0" collapsed="false">
      <c r="A278" s="1"/>
      <c r="B278" s="1"/>
      <c r="C278" s="1" t="s">
        <v>278</v>
      </c>
      <c r="D278" s="1"/>
      <c r="E278" s="1"/>
      <c r="F278" s="1"/>
      <c r="I278" s="1"/>
      <c r="J278" s="1"/>
      <c r="K278" s="15" t="s">
        <v>33</v>
      </c>
      <c r="L278" s="12"/>
      <c r="M278" s="18" t="n">
        <f aca="false">M277*M270</f>
        <v>0</v>
      </c>
      <c r="N278" s="18" t="n">
        <f aca="false">N277*N270</f>
        <v>0.0042</v>
      </c>
      <c r="O278" s="18"/>
      <c r="P278" s="18" t="n">
        <f aca="false">P277*P270</f>
        <v>0.0042</v>
      </c>
      <c r="Q278" s="18" t="n">
        <f aca="false">Q277*Q270</f>
        <v>0.0042</v>
      </c>
      <c r="R278" s="18" t="n">
        <f aca="false">R277*R270</f>
        <v>0.0042</v>
      </c>
    </row>
    <row r="279" customFormat="false" ht="13.8" hidden="false" customHeight="false" outlineLevel="0" collapsed="false">
      <c r="L279" s="12"/>
    </row>
    <row r="280" customFormat="false" ht="13.8" hidden="false" customHeight="false" outlineLevel="0" collapsed="false">
      <c r="A280" s="1"/>
      <c r="B280" s="1"/>
      <c r="C280" s="14" t="s">
        <v>281</v>
      </c>
      <c r="D280" s="1"/>
      <c r="E280" s="1"/>
      <c r="F280" s="1"/>
      <c r="I280" s="1"/>
      <c r="J280" s="1"/>
      <c r="K280" s="1"/>
      <c r="L280" s="12"/>
      <c r="M280" s="1"/>
      <c r="N280" s="1"/>
      <c r="O280" s="1"/>
      <c r="P280" s="1"/>
      <c r="Q280" s="1"/>
      <c r="R280" s="1"/>
    </row>
    <row r="281" customFormat="false" ht="13.8" hidden="false" customHeight="false" outlineLevel="0" collapsed="false">
      <c r="A281" s="1"/>
      <c r="B281" s="1"/>
      <c r="C281" s="1" t="s">
        <v>281</v>
      </c>
      <c r="D281" s="1"/>
      <c r="E281" s="1"/>
      <c r="F281" s="1"/>
      <c r="I281" s="1"/>
      <c r="J281" s="1"/>
      <c r="K281" s="15" t="s">
        <v>33</v>
      </c>
      <c r="L281" s="12"/>
      <c r="M281" s="63"/>
      <c r="N281" s="63" t="n">
        <v>0.01</v>
      </c>
      <c r="O281" s="63"/>
      <c r="P281" s="63" t="n">
        <v>0.01</v>
      </c>
      <c r="Q281" s="63" t="n">
        <v>0.01</v>
      </c>
      <c r="R281" s="63" t="n">
        <v>0.01</v>
      </c>
    </row>
    <row r="282" customFormat="false" ht="13.8" hidden="false" customHeight="false" outlineLevel="0" collapsed="false">
      <c r="A282" s="1"/>
      <c r="B282" s="1"/>
      <c r="C282" s="1"/>
      <c r="D282" s="1"/>
      <c r="E282" s="1"/>
      <c r="F282" s="1"/>
      <c r="I282" s="1"/>
      <c r="J282" s="1"/>
      <c r="K282" s="1"/>
      <c r="L282" s="12"/>
      <c r="M282" s="1"/>
      <c r="N282" s="1"/>
      <c r="O282" s="1"/>
      <c r="P282" s="1"/>
      <c r="Q282" s="1"/>
      <c r="R282" s="1"/>
    </row>
    <row r="283" customFormat="false" ht="13.8" hidden="false" customHeight="false" outlineLevel="0" collapsed="false">
      <c r="A283" s="1"/>
      <c r="B283" s="1"/>
      <c r="C283" s="6" t="s">
        <v>328</v>
      </c>
      <c r="D283" s="1"/>
      <c r="E283" s="1"/>
      <c r="F283" s="1"/>
      <c r="I283" s="1"/>
      <c r="J283" s="1"/>
      <c r="K283" s="1"/>
      <c r="L283" s="12"/>
      <c r="M283" s="1"/>
      <c r="N283" s="1"/>
      <c r="O283" s="1"/>
      <c r="P283" s="1"/>
      <c r="Q283" s="1"/>
      <c r="R283" s="1"/>
    </row>
    <row r="284" customFormat="false" ht="13.8" hidden="false" customHeight="false" outlineLevel="0" collapsed="false">
      <c r="C284" s="5" t="s">
        <v>329</v>
      </c>
      <c r="K284" s="15" t="s">
        <v>33</v>
      </c>
      <c r="L284" s="12"/>
      <c r="M284" s="63"/>
      <c r="N284" s="63"/>
      <c r="O284" s="63"/>
      <c r="P284" s="63"/>
      <c r="Q284" s="63"/>
      <c r="R284" s="63"/>
    </row>
    <row r="285" customFormat="false" ht="13.8" hidden="false" customHeight="false" outlineLevel="0" collapsed="false">
      <c r="C285" s="5" t="s">
        <v>330</v>
      </c>
      <c r="K285" s="15" t="s">
        <v>108</v>
      </c>
      <c r="L285" s="12"/>
      <c r="M285" s="67"/>
      <c r="N285" s="67" t="n">
        <v>3</v>
      </c>
      <c r="O285" s="67"/>
      <c r="P285" s="67" t="n">
        <v>3</v>
      </c>
      <c r="Q285" s="67" t="n">
        <v>3</v>
      </c>
      <c r="R285" s="67" t="n">
        <v>3</v>
      </c>
    </row>
    <row r="286" customFormat="false" ht="13.8" hidden="false" customHeight="false" outlineLevel="0" collapsed="false">
      <c r="L286" s="12"/>
    </row>
    <row r="287" customFormat="false" ht="13.8" hidden="false" customHeight="false" outlineLevel="0" collapsed="false">
      <c r="A287" s="1"/>
      <c r="B287" s="1"/>
      <c r="C287" s="14" t="s">
        <v>291</v>
      </c>
      <c r="D287" s="1"/>
      <c r="E287" s="1"/>
      <c r="F287" s="1"/>
      <c r="I287" s="1"/>
      <c r="J287" s="1"/>
      <c r="K287" s="1"/>
      <c r="L287" s="12"/>
      <c r="M287" s="1"/>
      <c r="N287" s="1"/>
      <c r="O287" s="1"/>
      <c r="P287" s="1"/>
      <c r="Q287" s="1"/>
      <c r="R287" s="1"/>
    </row>
    <row r="288" customFormat="false" ht="14.9" hidden="false" customHeight="false" outlineLevel="0" collapsed="false">
      <c r="A288" s="1"/>
      <c r="C288" s="5" t="s">
        <v>331</v>
      </c>
      <c r="K288" s="15" t="s">
        <v>109</v>
      </c>
      <c r="L288" s="12"/>
      <c r="M288" s="63"/>
      <c r="N288" s="63" t="b">
        <f aca="false">FALSE()</f>
        <v>0</v>
      </c>
      <c r="O288" s="63"/>
      <c r="P288" s="63" t="b">
        <f aca="false">FALSE()</f>
        <v>0</v>
      </c>
      <c r="Q288" s="63" t="b">
        <f aca="false">FALSE()</f>
        <v>0</v>
      </c>
      <c r="R288" s="63" t="b">
        <f aca="false">FALSE()</f>
        <v>0</v>
      </c>
    </row>
    <row r="289" customFormat="false" ht="13.8" hidden="false" customHeight="false" outlineLevel="0" collapsed="false">
      <c r="A289" s="1"/>
      <c r="C289" s="5" t="s">
        <v>332</v>
      </c>
      <c r="K289" s="15" t="s">
        <v>12</v>
      </c>
      <c r="L289" s="12"/>
      <c r="M289" s="106"/>
      <c r="N289" s="106"/>
      <c r="O289" s="106"/>
      <c r="P289" s="106"/>
      <c r="Q289" s="106"/>
      <c r="R289" s="106"/>
    </row>
    <row r="290" customFormat="false" ht="13.8" hidden="false" customHeight="false" outlineLevel="0" collapsed="false">
      <c r="A290" s="1"/>
      <c r="L290" s="90"/>
    </row>
    <row r="291" customFormat="false" ht="13.8" hidden="false" customHeight="false" outlineLevel="0" collapsed="false">
      <c r="A291" s="1"/>
      <c r="B291" s="1"/>
      <c r="C291" s="1" t="s">
        <v>318</v>
      </c>
      <c r="D291" s="1"/>
      <c r="E291" s="1"/>
      <c r="F291" s="1"/>
      <c r="I291" s="1"/>
      <c r="J291" s="1"/>
      <c r="K291" s="15" t="s">
        <v>80</v>
      </c>
      <c r="L291" s="12"/>
      <c r="M291" s="94"/>
      <c r="N291" s="94" t="s">
        <v>333</v>
      </c>
      <c r="O291" s="94"/>
      <c r="P291" s="94" t="s">
        <v>333</v>
      </c>
      <c r="Q291" s="94" t="s">
        <v>333</v>
      </c>
      <c r="R291" s="94" t="s">
        <v>333</v>
      </c>
    </row>
    <row r="292" customFormat="false" ht="13.8" hidden="false" customHeight="false" outlineLevel="0" collapsed="false">
      <c r="A292" s="1"/>
      <c r="B292" s="1"/>
      <c r="C292" s="1" t="s">
        <v>334</v>
      </c>
      <c r="D292" s="1"/>
      <c r="E292" s="1"/>
      <c r="F292" s="1"/>
      <c r="I292" s="1"/>
      <c r="J292" s="1"/>
      <c r="K292" s="15" t="s">
        <v>33</v>
      </c>
      <c r="L292" s="12"/>
      <c r="M292" s="63"/>
      <c r="N292" s="63" t="n">
        <v>0.5</v>
      </c>
      <c r="O292" s="63"/>
      <c r="P292" s="63" t="n">
        <v>0.5</v>
      </c>
      <c r="Q292" s="63" t="n">
        <v>0.5</v>
      </c>
      <c r="R292" s="63" t="n">
        <v>0.5</v>
      </c>
    </row>
    <row r="293" customFormat="false" ht="13.8" hidden="false" customHeight="false" outlineLevel="0" collapsed="false">
      <c r="A293" s="1"/>
      <c r="B293" s="1"/>
      <c r="C293" s="1"/>
      <c r="D293" s="1"/>
      <c r="E293" s="1"/>
      <c r="F293" s="1"/>
      <c r="I293" s="1"/>
      <c r="J293" s="1"/>
      <c r="K293" s="1"/>
      <c r="L293" s="12"/>
      <c r="M293" s="1"/>
      <c r="N293" s="1"/>
      <c r="O293" s="1"/>
      <c r="P293" s="1"/>
      <c r="Q293" s="1"/>
      <c r="R293" s="1"/>
    </row>
    <row r="294" customFormat="false" ht="13.8" hidden="false" customHeight="false" outlineLevel="0" collapsed="false">
      <c r="A294" s="1"/>
      <c r="B294" s="1"/>
      <c r="C294" s="14" t="s">
        <v>323</v>
      </c>
      <c r="D294" s="1"/>
      <c r="E294" s="1"/>
      <c r="F294" s="1"/>
      <c r="I294" s="1"/>
      <c r="J294" s="1"/>
      <c r="K294" s="1"/>
      <c r="L294" s="12"/>
      <c r="M294" s="1"/>
      <c r="N294" s="1"/>
      <c r="O294" s="1"/>
      <c r="P294" s="1"/>
      <c r="Q294" s="1"/>
      <c r="R294" s="1"/>
    </row>
    <row r="295" customFormat="false" ht="13.8" hidden="false" customHeight="false" outlineLevel="0" collapsed="false">
      <c r="A295" s="1"/>
      <c r="B295" s="1"/>
      <c r="C295" s="1" t="s">
        <v>272</v>
      </c>
      <c r="D295" s="1"/>
      <c r="E295" s="1"/>
      <c r="F295" s="1"/>
      <c r="I295" s="1"/>
      <c r="J295" s="1"/>
      <c r="K295" s="15" t="s">
        <v>33</v>
      </c>
      <c r="L295" s="12"/>
      <c r="M295" s="63"/>
      <c r="N295" s="63"/>
      <c r="O295" s="63"/>
      <c r="P295" s="63"/>
      <c r="Q295" s="63"/>
      <c r="R295" s="63"/>
    </row>
    <row r="296" customFormat="false" ht="13.8" hidden="false" customHeight="false" outlineLevel="0" collapsed="false">
      <c r="A296" s="1"/>
      <c r="B296" s="1"/>
      <c r="C296" s="1" t="s">
        <v>324</v>
      </c>
      <c r="D296" s="1"/>
      <c r="E296" s="1"/>
      <c r="F296" s="1"/>
      <c r="I296" s="1"/>
      <c r="J296" s="1"/>
      <c r="K296" s="15" t="s">
        <v>80</v>
      </c>
      <c r="L296" s="12"/>
      <c r="M296" s="63"/>
      <c r="N296" s="63" t="s">
        <v>268</v>
      </c>
      <c r="O296" s="63"/>
      <c r="P296" s="63" t="s">
        <v>268</v>
      </c>
      <c r="Q296" s="63" t="s">
        <v>268</v>
      </c>
      <c r="R296" s="63" t="s">
        <v>268</v>
      </c>
    </row>
    <row r="297" customFormat="false" ht="13.8" hidden="false" customHeight="false" outlineLevel="0" collapsed="false">
      <c r="A297" s="1"/>
      <c r="B297" s="1"/>
      <c r="C297" s="1" t="s">
        <v>271</v>
      </c>
      <c r="D297" s="1"/>
      <c r="E297" s="1"/>
      <c r="F297" s="1"/>
      <c r="I297" s="1"/>
      <c r="J297" s="1"/>
      <c r="K297" s="15" t="s">
        <v>80</v>
      </c>
      <c r="L297" s="12"/>
      <c r="M297" s="63"/>
      <c r="N297" s="63" t="s">
        <v>272</v>
      </c>
      <c r="O297" s="63"/>
      <c r="P297" s="63" t="s">
        <v>272</v>
      </c>
      <c r="Q297" s="63" t="s">
        <v>272</v>
      </c>
      <c r="R297" s="63" t="s">
        <v>272</v>
      </c>
    </row>
    <row r="298" customFormat="false" ht="13.8" hidden="false" customHeight="false" outlineLevel="0" collapsed="false">
      <c r="A298" s="1"/>
      <c r="B298" s="1"/>
      <c r="C298" s="1" t="s">
        <v>325</v>
      </c>
      <c r="D298" s="1"/>
      <c r="E298" s="1"/>
      <c r="F298" s="1"/>
      <c r="I298" s="1"/>
      <c r="J298" s="1"/>
      <c r="K298" s="15" t="s">
        <v>33</v>
      </c>
      <c r="L298" s="12"/>
      <c r="M298" s="18" t="n">
        <f aca="false">IF(M297="Zero",0,-M295)</f>
        <v>-0</v>
      </c>
      <c r="N298" s="18" t="n">
        <f aca="false">IF(N297="Zero",0,-N295)</f>
        <v>-0</v>
      </c>
      <c r="O298" s="18"/>
      <c r="P298" s="18" t="n">
        <f aca="false">IF(P297="Zero",0,-P295)</f>
        <v>-0</v>
      </c>
      <c r="Q298" s="18" t="n">
        <f aca="false">IF(Q297="Zero",0,-Q295)</f>
        <v>-0</v>
      </c>
      <c r="R298" s="18" t="n">
        <f aca="false">IF(R297="Zero",0,-R295)</f>
        <v>-0</v>
      </c>
    </row>
    <row r="299" customFormat="false" ht="13.8" hidden="false" customHeight="false" outlineLevel="0" collapsed="false">
      <c r="C299" s="1" t="s">
        <v>270</v>
      </c>
      <c r="K299" s="15" t="s">
        <v>80</v>
      </c>
      <c r="L299" s="90"/>
      <c r="M299" s="94"/>
      <c r="N299" s="94" t="n">
        <v>360</v>
      </c>
      <c r="O299" s="94"/>
      <c r="P299" s="94" t="n">
        <v>360</v>
      </c>
      <c r="Q299" s="94" t="n">
        <v>360</v>
      </c>
      <c r="R299" s="94" t="n">
        <v>360</v>
      </c>
    </row>
    <row r="300" customFormat="false" ht="13.8" hidden="false" customHeight="false" outlineLevel="0" collapsed="false">
      <c r="A300" s="1"/>
      <c r="B300" s="1"/>
      <c r="C300" s="1"/>
      <c r="D300" s="1"/>
      <c r="E300" s="1"/>
      <c r="F300" s="1"/>
      <c r="I300" s="1"/>
      <c r="J300" s="1"/>
      <c r="K300" s="1"/>
      <c r="L300" s="12"/>
      <c r="M300" s="1"/>
      <c r="N300" s="1"/>
      <c r="O300" s="1"/>
      <c r="P300" s="1"/>
      <c r="Q300" s="1"/>
      <c r="R300" s="1"/>
    </row>
    <row r="301" customFormat="false" ht="13.8" hidden="false" customHeight="false" outlineLevel="0" collapsed="false">
      <c r="A301" s="1"/>
      <c r="B301" s="1"/>
      <c r="C301" s="14" t="s">
        <v>326</v>
      </c>
      <c r="D301" s="1"/>
      <c r="E301" s="1"/>
      <c r="F301" s="1"/>
      <c r="I301" s="1"/>
      <c r="J301" s="1"/>
      <c r="K301" s="1"/>
      <c r="L301" s="12"/>
      <c r="M301" s="1"/>
      <c r="N301" s="1"/>
      <c r="O301" s="1"/>
      <c r="P301" s="1"/>
      <c r="Q301" s="1"/>
      <c r="R301" s="1"/>
    </row>
    <row r="302" customFormat="false" ht="13.8" hidden="false" customHeight="false" outlineLevel="0" collapsed="false">
      <c r="A302" s="1"/>
      <c r="B302" s="1"/>
      <c r="C302" s="1" t="s">
        <v>327</v>
      </c>
      <c r="D302" s="1"/>
      <c r="E302" s="1"/>
      <c r="F302" s="1"/>
      <c r="K302" s="15" t="s">
        <v>33</v>
      </c>
      <c r="L302" s="12"/>
      <c r="M302" s="108"/>
      <c r="N302" s="108"/>
      <c r="O302" s="108"/>
      <c r="P302" s="108"/>
      <c r="Q302" s="108"/>
      <c r="R302" s="108"/>
    </row>
    <row r="303" customFormat="false" ht="13.8" hidden="false" customHeight="false" outlineLevel="0" collapsed="false">
      <c r="A303" s="1"/>
      <c r="B303" s="1"/>
      <c r="C303" s="1" t="s">
        <v>278</v>
      </c>
      <c r="D303" s="1"/>
      <c r="E303" s="1"/>
      <c r="F303" s="1"/>
      <c r="I303" s="1"/>
      <c r="J303" s="1"/>
      <c r="K303" s="15" t="s">
        <v>33</v>
      </c>
      <c r="L303" s="12"/>
      <c r="M303" s="18" t="n">
        <f aca="false">M302*M295</f>
        <v>0</v>
      </c>
      <c r="N303" s="18" t="n">
        <f aca="false">N302*N295</f>
        <v>0</v>
      </c>
      <c r="O303" s="18"/>
      <c r="P303" s="18" t="n">
        <f aca="false">P302*P295</f>
        <v>0</v>
      </c>
      <c r="Q303" s="18" t="n">
        <f aca="false">Q302*Q295</f>
        <v>0</v>
      </c>
      <c r="R303" s="18" t="n">
        <f aca="false">R302*R295</f>
        <v>0</v>
      </c>
    </row>
    <row r="304" customFormat="false" ht="13.8" hidden="false" customHeight="false" outlineLevel="0" collapsed="false">
      <c r="L304" s="12"/>
    </row>
    <row r="305" customFormat="false" ht="13.8" hidden="false" customHeight="false" outlineLevel="0" collapsed="false">
      <c r="A305" s="1"/>
      <c r="B305" s="1"/>
      <c r="C305" s="14" t="s">
        <v>281</v>
      </c>
      <c r="D305" s="1"/>
      <c r="E305" s="1"/>
      <c r="F305" s="1"/>
      <c r="I305" s="1"/>
      <c r="J305" s="1"/>
      <c r="K305" s="1"/>
      <c r="L305" s="12"/>
      <c r="M305" s="1"/>
      <c r="N305" s="1"/>
      <c r="O305" s="1"/>
      <c r="P305" s="1"/>
      <c r="Q305" s="1"/>
      <c r="R305" s="1"/>
    </row>
    <row r="306" customFormat="false" ht="13.8" hidden="false" customHeight="false" outlineLevel="0" collapsed="false">
      <c r="A306" s="1"/>
      <c r="B306" s="1"/>
      <c r="C306" s="1" t="s">
        <v>281</v>
      </c>
      <c r="D306" s="1"/>
      <c r="E306" s="1"/>
      <c r="F306" s="1"/>
      <c r="I306" s="1"/>
      <c r="J306" s="1"/>
      <c r="K306" s="15" t="s">
        <v>33</v>
      </c>
      <c r="L306" s="12"/>
      <c r="M306" s="63"/>
      <c r="N306" s="63"/>
      <c r="O306" s="63"/>
      <c r="P306" s="63"/>
      <c r="Q306" s="63"/>
      <c r="R306" s="63"/>
    </row>
    <row r="307" customFormat="false" ht="13.8" hidden="false" customHeight="false" outlineLevel="0" collapsed="false">
      <c r="A307" s="1"/>
      <c r="B307" s="1"/>
      <c r="C307" s="1"/>
      <c r="D307" s="1"/>
      <c r="E307" s="1"/>
      <c r="F307" s="1"/>
      <c r="I307" s="1"/>
      <c r="J307" s="1"/>
      <c r="K307" s="1"/>
      <c r="L307" s="12"/>
      <c r="M307" s="1"/>
      <c r="N307" s="1"/>
      <c r="O307" s="1"/>
      <c r="P307" s="1"/>
      <c r="Q307" s="1"/>
      <c r="R307" s="1"/>
    </row>
    <row r="308" customFormat="false" ht="13.8" hidden="false" customHeight="false" outlineLevel="0" collapsed="false">
      <c r="A308" s="1"/>
      <c r="B308" s="1"/>
      <c r="C308" s="6" t="s">
        <v>54</v>
      </c>
      <c r="D308" s="1"/>
      <c r="E308" s="1"/>
      <c r="F308" s="1"/>
      <c r="I308" s="1"/>
      <c r="J308" s="1"/>
      <c r="K308" s="1"/>
      <c r="L308" s="12"/>
      <c r="M308" s="1"/>
      <c r="N308" s="1"/>
      <c r="O308" s="1"/>
      <c r="P308" s="1"/>
      <c r="Q308" s="1"/>
      <c r="R308" s="1"/>
    </row>
    <row r="309" customFormat="false" ht="13.8" hidden="false" customHeight="false" outlineLevel="0" collapsed="false">
      <c r="A309" s="1"/>
      <c r="C309" s="5" t="s">
        <v>335</v>
      </c>
      <c r="K309" s="15" t="s">
        <v>109</v>
      </c>
      <c r="L309" s="12"/>
      <c r="M309" s="63"/>
      <c r="N309" s="63" t="b">
        <f aca="false">FALSE()</f>
        <v>0</v>
      </c>
      <c r="O309" s="63"/>
      <c r="P309" s="63" t="b">
        <f aca="false">FALSE()</f>
        <v>0</v>
      </c>
      <c r="Q309" s="63" t="b">
        <f aca="false">FALSE()</f>
        <v>0</v>
      </c>
      <c r="R309" s="63" t="b">
        <f aca="false">FALSE()</f>
        <v>0</v>
      </c>
    </row>
    <row r="310" customFormat="false" ht="13.8" hidden="false" customHeight="false" outlineLevel="0" collapsed="false">
      <c r="A310" s="1"/>
      <c r="B310" s="1"/>
      <c r="C310" s="1" t="s">
        <v>336</v>
      </c>
      <c r="D310" s="1"/>
      <c r="E310" s="1"/>
      <c r="F310" s="1"/>
      <c r="I310" s="1"/>
      <c r="J310" s="1"/>
      <c r="K310" s="15" t="s">
        <v>337</v>
      </c>
      <c r="L310" s="12"/>
      <c r="M310" s="67"/>
      <c r="N310" s="67" t="n">
        <v>6</v>
      </c>
      <c r="O310" s="67"/>
      <c r="P310" s="67" t="n">
        <v>6</v>
      </c>
      <c r="Q310" s="67" t="n">
        <v>6</v>
      </c>
      <c r="R310" s="67" t="n">
        <v>6</v>
      </c>
    </row>
    <row r="311" customFormat="false" ht="13.8" hidden="false" customHeight="false" outlineLevel="0" collapsed="false">
      <c r="A311" s="1"/>
      <c r="B311" s="1"/>
      <c r="C311" s="1" t="s">
        <v>338</v>
      </c>
      <c r="D311" s="1"/>
      <c r="E311" s="1"/>
      <c r="F311" s="1"/>
      <c r="I311" s="1"/>
      <c r="J311" s="1"/>
      <c r="K311" s="15" t="s">
        <v>25</v>
      </c>
      <c r="L311" s="12"/>
      <c r="M311" s="26" t="n">
        <f aca="false" t="array" ref="M311:M311">EDATE(MAX(M57:M64*M66:M73),M310)</f>
        <v>0</v>
      </c>
      <c r="N311" s="26" t="e">
        <f aca="false" t="array" ref="N311:N311">EDATE(MAX(N57:N64*N66:N73),N310)</f>
        <v>#VALUE!</v>
      </c>
      <c r="O311" s="26"/>
      <c r="P311" s="26" t="e">
        <f aca="false" t="array" ref="P311:P311">EDATE(MAX(P57:P64*P66:P73),P310)</f>
        <v>#VALUE!</v>
      </c>
      <c r="Q311" s="26" t="e">
        <f aca="false" t="array" ref="Q311:Q311">EDATE(MAX(Q57:Q64*Q66:Q73),Q310)</f>
        <v>#VALUE!</v>
      </c>
      <c r="R311" s="26" t="e">
        <f aca="false" t="array" ref="R311:R311">EDATE(MAX(R57:R64*R66:R73),R310)</f>
        <v>#VALUE!</v>
      </c>
    </row>
    <row r="312" customFormat="false" ht="13.8" hidden="false" customHeight="false" outlineLevel="0" collapsed="false">
      <c r="A312" s="1"/>
      <c r="B312" s="1"/>
      <c r="C312" s="1"/>
      <c r="D312" s="1"/>
      <c r="E312" s="1"/>
      <c r="F312" s="1"/>
      <c r="I312" s="1"/>
      <c r="J312" s="1"/>
      <c r="K312" s="1"/>
      <c r="L312" s="12"/>
      <c r="M312" s="1"/>
      <c r="N312" s="1"/>
      <c r="O312" s="1"/>
      <c r="P312" s="1"/>
      <c r="Q312" s="1"/>
      <c r="R312" s="1"/>
    </row>
    <row r="313" customFormat="false" ht="13.8" hidden="false" customHeight="false" outlineLevel="0" collapsed="false">
      <c r="A313" s="1"/>
      <c r="B313" s="1"/>
      <c r="C313" s="14" t="s">
        <v>323</v>
      </c>
      <c r="D313" s="1"/>
      <c r="E313" s="1"/>
      <c r="F313" s="1"/>
      <c r="I313" s="1"/>
      <c r="J313" s="1"/>
      <c r="K313" s="1"/>
      <c r="L313" s="12"/>
      <c r="M313" s="1"/>
      <c r="N313" s="1"/>
      <c r="O313" s="1"/>
      <c r="P313" s="1"/>
      <c r="Q313" s="1"/>
      <c r="R313" s="1"/>
    </row>
    <row r="314" customFormat="false" ht="13.8" hidden="false" customHeight="false" outlineLevel="0" collapsed="false">
      <c r="A314" s="1"/>
      <c r="B314" s="1"/>
      <c r="C314" s="1" t="s">
        <v>272</v>
      </c>
      <c r="D314" s="1"/>
      <c r="E314" s="1"/>
      <c r="F314" s="1"/>
      <c r="I314" s="1"/>
      <c r="J314" s="1"/>
      <c r="K314" s="15" t="s">
        <v>33</v>
      </c>
      <c r="L314" s="12"/>
      <c r="M314" s="63"/>
      <c r="N314" s="63" t="n">
        <v>0.0175</v>
      </c>
      <c r="O314" s="63"/>
      <c r="P314" s="63" t="n">
        <v>0.0175</v>
      </c>
      <c r="Q314" s="63" t="n">
        <v>0.0175</v>
      </c>
      <c r="R314" s="63" t="n">
        <v>0.0175</v>
      </c>
    </row>
    <row r="315" customFormat="false" ht="13.8" hidden="false" customHeight="false" outlineLevel="0" collapsed="false">
      <c r="A315" s="1"/>
      <c r="B315" s="1"/>
      <c r="C315" s="1" t="s">
        <v>324</v>
      </c>
      <c r="D315" s="1"/>
      <c r="E315" s="1"/>
      <c r="F315" s="1"/>
      <c r="I315" s="1"/>
      <c r="J315" s="1"/>
      <c r="K315" s="15" t="s">
        <v>80</v>
      </c>
      <c r="L315" s="12"/>
      <c r="M315" s="63"/>
      <c r="N315" s="63" t="s">
        <v>268</v>
      </c>
      <c r="O315" s="63"/>
      <c r="P315" s="63" t="s">
        <v>268</v>
      </c>
      <c r="Q315" s="63" t="s">
        <v>268</v>
      </c>
      <c r="R315" s="63" t="s">
        <v>268</v>
      </c>
    </row>
    <row r="316" customFormat="false" ht="13.8" hidden="false" customHeight="false" outlineLevel="0" collapsed="false">
      <c r="A316" s="1"/>
      <c r="B316" s="1"/>
      <c r="C316" s="1" t="s">
        <v>271</v>
      </c>
      <c r="D316" s="1"/>
      <c r="E316" s="1"/>
      <c r="F316" s="1"/>
      <c r="I316" s="1"/>
      <c r="J316" s="1"/>
      <c r="K316" s="15" t="s">
        <v>80</v>
      </c>
      <c r="L316" s="12"/>
      <c r="M316" s="63"/>
      <c r="N316" s="63" t="s">
        <v>272</v>
      </c>
      <c r="O316" s="63"/>
      <c r="P316" s="63" t="s">
        <v>272</v>
      </c>
      <c r="Q316" s="63" t="s">
        <v>272</v>
      </c>
      <c r="R316" s="63" t="s">
        <v>272</v>
      </c>
    </row>
    <row r="317" customFormat="false" ht="13.8" hidden="false" customHeight="false" outlineLevel="0" collapsed="false">
      <c r="A317" s="1"/>
      <c r="B317" s="1"/>
      <c r="C317" s="1" t="s">
        <v>325</v>
      </c>
      <c r="D317" s="1"/>
      <c r="E317" s="1"/>
      <c r="F317" s="1"/>
      <c r="I317" s="1"/>
      <c r="J317" s="1"/>
      <c r="K317" s="15" t="s">
        <v>33</v>
      </c>
      <c r="L317" s="12"/>
      <c r="M317" s="18" t="n">
        <f aca="false">IF(M316="Zero",0,-M314)</f>
        <v>-0</v>
      </c>
      <c r="N317" s="18" t="n">
        <f aca="false">IF(N316="Zero",0,-N314)</f>
        <v>-0.0175</v>
      </c>
      <c r="O317" s="18"/>
      <c r="P317" s="18" t="n">
        <f aca="false">IF(P316="Zero",0,-P314)</f>
        <v>-0.0175</v>
      </c>
      <c r="Q317" s="18" t="n">
        <f aca="false">IF(Q316="Zero",0,-Q314)</f>
        <v>-0.0175</v>
      </c>
      <c r="R317" s="18" t="n">
        <f aca="false">IF(R316="Zero",0,-R314)</f>
        <v>-0.0175</v>
      </c>
    </row>
    <row r="318" customFormat="false" ht="13.8" hidden="false" customHeight="false" outlineLevel="0" collapsed="false">
      <c r="C318" s="1" t="s">
        <v>270</v>
      </c>
      <c r="K318" s="15" t="s">
        <v>80</v>
      </c>
      <c r="L318" s="90"/>
      <c r="M318" s="94"/>
      <c r="N318" s="94" t="n">
        <v>360</v>
      </c>
      <c r="O318" s="94"/>
      <c r="P318" s="94" t="n">
        <v>360</v>
      </c>
      <c r="Q318" s="94" t="n">
        <v>360</v>
      </c>
      <c r="R318" s="94" t="n">
        <v>360</v>
      </c>
    </row>
    <row r="319" customFormat="false" ht="13.8" hidden="false" customHeight="false" outlineLevel="0" collapsed="false">
      <c r="A319" s="1"/>
      <c r="B319" s="1"/>
      <c r="C319" s="1"/>
      <c r="D319" s="1"/>
      <c r="E319" s="1"/>
      <c r="F319" s="1"/>
      <c r="I319" s="1"/>
      <c r="J319" s="1"/>
      <c r="K319" s="1"/>
      <c r="L319" s="12"/>
      <c r="M319" s="1"/>
      <c r="N319" s="1"/>
      <c r="O319" s="1"/>
      <c r="P319" s="1"/>
      <c r="Q319" s="1"/>
      <c r="R319" s="1"/>
    </row>
    <row r="320" customFormat="false" ht="13.8" hidden="false" customHeight="false" outlineLevel="0" collapsed="false">
      <c r="A320" s="1"/>
      <c r="B320" s="1"/>
      <c r="C320" s="14" t="s">
        <v>326</v>
      </c>
      <c r="D320" s="1"/>
      <c r="E320" s="1"/>
      <c r="F320" s="1"/>
      <c r="I320" s="1"/>
      <c r="J320" s="1"/>
      <c r="K320" s="1"/>
      <c r="L320" s="12"/>
      <c r="M320" s="1"/>
      <c r="N320" s="1"/>
      <c r="O320" s="1"/>
      <c r="P320" s="1"/>
      <c r="Q320" s="1"/>
      <c r="R320" s="1"/>
    </row>
    <row r="321" customFormat="false" ht="13.8" hidden="false" customHeight="false" outlineLevel="0" collapsed="false">
      <c r="A321" s="1"/>
      <c r="B321" s="1"/>
      <c r="C321" s="1" t="s">
        <v>327</v>
      </c>
      <c r="D321" s="1"/>
      <c r="E321" s="1"/>
      <c r="F321" s="1"/>
      <c r="K321" s="15" t="s">
        <v>33</v>
      </c>
      <c r="L321" s="12"/>
      <c r="M321" s="108"/>
      <c r="N321" s="108" t="n">
        <v>0.35</v>
      </c>
      <c r="O321" s="108"/>
      <c r="P321" s="108" t="n">
        <v>0.35</v>
      </c>
      <c r="Q321" s="108" t="n">
        <v>0.35</v>
      </c>
      <c r="R321" s="108" t="n">
        <v>0.35</v>
      </c>
    </row>
    <row r="322" customFormat="false" ht="13.8" hidden="false" customHeight="false" outlineLevel="0" collapsed="false">
      <c r="A322" s="1"/>
      <c r="B322" s="1"/>
      <c r="C322" s="1" t="s">
        <v>278</v>
      </c>
      <c r="D322" s="1"/>
      <c r="E322" s="1"/>
      <c r="F322" s="1"/>
      <c r="I322" s="1"/>
      <c r="J322" s="1"/>
      <c r="K322" s="15" t="s">
        <v>33</v>
      </c>
      <c r="L322" s="12"/>
      <c r="M322" s="18" t="n">
        <f aca="false">M321*M314</f>
        <v>0</v>
      </c>
      <c r="N322" s="18" t="n">
        <f aca="false">N321*N314</f>
        <v>0.006125</v>
      </c>
      <c r="O322" s="18"/>
      <c r="P322" s="18" t="n">
        <f aca="false">P321*P314</f>
        <v>0.006125</v>
      </c>
      <c r="Q322" s="18" t="n">
        <f aca="false">Q321*Q314</f>
        <v>0.006125</v>
      </c>
      <c r="R322" s="18" t="n">
        <f aca="false">R321*R314</f>
        <v>0.006125</v>
      </c>
    </row>
    <row r="323" customFormat="false" ht="13.8" hidden="false" customHeight="false" outlineLevel="0" collapsed="false">
      <c r="L323" s="12"/>
    </row>
    <row r="324" customFormat="false" ht="13.8" hidden="false" customHeight="false" outlineLevel="0" collapsed="false">
      <c r="A324" s="1"/>
      <c r="B324" s="1"/>
      <c r="C324" s="14" t="s">
        <v>281</v>
      </c>
      <c r="D324" s="1"/>
      <c r="E324" s="1"/>
      <c r="F324" s="1"/>
      <c r="I324" s="1"/>
      <c r="J324" s="1"/>
      <c r="K324" s="1"/>
      <c r="L324" s="12"/>
      <c r="M324" s="1"/>
      <c r="N324" s="1"/>
      <c r="O324" s="1"/>
      <c r="P324" s="1"/>
      <c r="Q324" s="1"/>
      <c r="R324" s="1"/>
    </row>
    <row r="325" customFormat="false" ht="13.8" hidden="false" customHeight="false" outlineLevel="0" collapsed="false">
      <c r="A325" s="1"/>
      <c r="B325" s="1"/>
      <c r="C325" s="1" t="s">
        <v>281</v>
      </c>
      <c r="D325" s="1"/>
      <c r="E325" s="1"/>
      <c r="F325" s="1"/>
      <c r="I325" s="1"/>
      <c r="J325" s="1"/>
      <c r="K325" s="15" t="s">
        <v>33</v>
      </c>
      <c r="L325" s="12"/>
      <c r="M325" s="63"/>
      <c r="N325" s="63" t="n">
        <v>0.01</v>
      </c>
      <c r="O325" s="63"/>
      <c r="P325" s="63" t="n">
        <v>0.01</v>
      </c>
      <c r="Q325" s="63" t="n">
        <v>0.01</v>
      </c>
      <c r="R325" s="63" t="n">
        <v>0.01</v>
      </c>
    </row>
    <row r="326" customFormat="false" ht="13.8" hidden="false" customHeight="false" outlineLevel="0" collapsed="false">
      <c r="A326" s="1"/>
      <c r="B326" s="1"/>
      <c r="C326" s="1"/>
      <c r="D326" s="1"/>
      <c r="E326" s="1"/>
      <c r="F326" s="1"/>
      <c r="I326" s="1"/>
      <c r="J326" s="1"/>
      <c r="K326" s="1"/>
      <c r="L326" s="12"/>
      <c r="M326" s="1"/>
      <c r="N326" s="1"/>
      <c r="O326" s="1"/>
      <c r="P326" s="1"/>
      <c r="Q326" s="1"/>
      <c r="R326" s="1"/>
    </row>
    <row r="327" customFormat="false" ht="13.8" hidden="false" customHeight="false" outlineLevel="0" collapsed="false">
      <c r="A327" s="1"/>
      <c r="B327" s="1"/>
      <c r="C327" s="6" t="s">
        <v>339</v>
      </c>
      <c r="D327" s="1"/>
      <c r="E327" s="1"/>
      <c r="F327" s="1"/>
      <c r="I327" s="1"/>
      <c r="J327" s="1"/>
      <c r="K327" s="1"/>
      <c r="L327" s="12"/>
    </row>
    <row r="328" customFormat="false" ht="14.9" hidden="false" customHeight="false" outlineLevel="0" collapsed="false">
      <c r="A328" s="1"/>
      <c r="C328" s="5" t="s">
        <v>340</v>
      </c>
      <c r="K328" s="15" t="s">
        <v>109</v>
      </c>
      <c r="L328" s="12"/>
      <c r="M328" s="63" t="b">
        <f aca="false">FALSE()</f>
        <v>0</v>
      </c>
      <c r="N328" s="63" t="b">
        <f aca="false">FALSE()</f>
        <v>0</v>
      </c>
      <c r="O328" s="63"/>
      <c r="P328" s="63" t="b">
        <f aca="false">FALSE()</f>
        <v>0</v>
      </c>
      <c r="Q328" s="63" t="b">
        <f aca="false">FALSE()</f>
        <v>0</v>
      </c>
      <c r="R328" s="63" t="b">
        <f aca="false">FALSE()</f>
        <v>0</v>
      </c>
    </row>
    <row r="329" customFormat="false" ht="13.8" hidden="false" customHeight="false" outlineLevel="0" collapsed="false">
      <c r="A329" s="1"/>
      <c r="B329" s="1"/>
      <c r="C329" s="1"/>
      <c r="D329" s="1"/>
      <c r="E329" s="1"/>
      <c r="F329" s="1"/>
      <c r="I329" s="1"/>
      <c r="J329" s="1"/>
      <c r="K329" s="1"/>
      <c r="L329" s="12"/>
      <c r="M329" s="1"/>
      <c r="N329" s="1"/>
      <c r="O329" s="1"/>
      <c r="P329" s="1"/>
      <c r="Q329" s="1"/>
      <c r="R329" s="1"/>
    </row>
    <row r="330" customFormat="false" ht="13.8" hidden="false" customHeight="false" outlineLevel="0" collapsed="false">
      <c r="A330" s="1"/>
      <c r="C330" s="14" t="s">
        <v>65</v>
      </c>
      <c r="L330" s="12"/>
    </row>
    <row r="331" customFormat="false" ht="13.8" hidden="false" customHeight="false" outlineLevel="0" collapsed="false">
      <c r="A331" s="1"/>
      <c r="C331" s="1" t="s">
        <v>262</v>
      </c>
      <c r="D331" s="1"/>
      <c r="E331" s="1"/>
      <c r="F331" s="1"/>
      <c r="I331" s="1"/>
      <c r="J331" s="1"/>
      <c r="K331" s="15" t="s">
        <v>25</v>
      </c>
      <c r="L331" s="12"/>
      <c r="M331" s="85"/>
      <c r="N331" s="85" t="n">
        <v>46753</v>
      </c>
      <c r="O331" s="85"/>
      <c r="P331" s="85" t="n">
        <v>46753</v>
      </c>
      <c r="Q331" s="85" t="n">
        <v>46753</v>
      </c>
      <c r="R331" s="85" t="n">
        <v>46753</v>
      </c>
    </row>
    <row r="332" customFormat="false" ht="13.8" hidden="false" customHeight="false" outlineLevel="0" collapsed="false">
      <c r="A332" s="1"/>
      <c r="C332" s="1" t="s">
        <v>65</v>
      </c>
      <c r="D332" s="1"/>
      <c r="E332" s="1"/>
      <c r="F332" s="1"/>
      <c r="I332" s="1"/>
      <c r="J332" s="1"/>
      <c r="K332" s="15" t="s">
        <v>108</v>
      </c>
      <c r="L332" s="12"/>
      <c r="M332" s="67"/>
      <c r="N332" s="67" t="n">
        <v>240</v>
      </c>
      <c r="O332" s="67"/>
      <c r="P332" s="67" t="n">
        <v>240</v>
      </c>
      <c r="Q332" s="67" t="n">
        <v>240</v>
      </c>
      <c r="R332" s="67" t="n">
        <v>240</v>
      </c>
    </row>
    <row r="333" customFormat="false" ht="13.8" hidden="false" customHeight="false" outlineLevel="0" collapsed="false">
      <c r="A333" s="1"/>
      <c r="C333" s="1" t="s">
        <v>263</v>
      </c>
      <c r="D333" s="1"/>
      <c r="E333" s="1"/>
      <c r="F333" s="1"/>
      <c r="I333" s="1"/>
      <c r="J333" s="1"/>
      <c r="K333" s="15" t="s">
        <v>25</v>
      </c>
      <c r="L333" s="12"/>
      <c r="M333" s="26" t="n">
        <f aca="false">IF(M$328=TRUE(),EDATE(M331,M332)-1,)</f>
        <v>0</v>
      </c>
      <c r="N333" s="26" t="n">
        <f aca="false">IF(N$328=TRUE(),EDATE(N331,N332)-1,)</f>
        <v>0</v>
      </c>
      <c r="O333" s="26"/>
      <c r="P333" s="26" t="n">
        <f aca="false">IF(P$328=TRUE(),EDATE(P331,P332)-1,)</f>
        <v>0</v>
      </c>
      <c r="Q333" s="26" t="n">
        <f aca="false">IF(Q$328=TRUE(),EDATE(Q331,Q332)-1,)</f>
        <v>0</v>
      </c>
      <c r="R333" s="26" t="n">
        <f aca="false">IF(R$328=TRUE(),EDATE(R331,R332)-1,)</f>
        <v>0</v>
      </c>
    </row>
    <row r="334" customFormat="false" ht="13.8" hidden="false" customHeight="false" outlineLevel="0" collapsed="false">
      <c r="A334" s="1"/>
      <c r="L334" s="12"/>
    </row>
    <row r="335" customFormat="false" ht="13.8" hidden="false" customHeight="false" outlineLevel="0" collapsed="false">
      <c r="A335" s="1"/>
      <c r="B335" s="1"/>
      <c r="C335" s="14" t="s">
        <v>323</v>
      </c>
      <c r="D335" s="1"/>
      <c r="E335" s="1"/>
      <c r="F335" s="1"/>
      <c r="I335" s="1"/>
      <c r="J335" s="1"/>
      <c r="K335" s="1"/>
      <c r="L335" s="12"/>
      <c r="M335" s="1"/>
      <c r="N335" s="1"/>
      <c r="O335" s="1"/>
      <c r="P335" s="1"/>
      <c r="Q335" s="1"/>
      <c r="R335" s="1"/>
    </row>
    <row r="336" customFormat="false" ht="13.8" hidden="false" customHeight="false" outlineLevel="0" collapsed="false">
      <c r="A336" s="1"/>
      <c r="B336" s="1"/>
      <c r="C336" s="1" t="s">
        <v>272</v>
      </c>
      <c r="D336" s="1"/>
      <c r="E336" s="1"/>
      <c r="F336" s="1"/>
      <c r="I336" s="1"/>
      <c r="J336" s="1"/>
      <c r="K336" s="15" t="s">
        <v>33</v>
      </c>
      <c r="L336" s="12"/>
      <c r="M336" s="63"/>
      <c r="N336" s="63" t="n">
        <v>0.07</v>
      </c>
      <c r="O336" s="63"/>
      <c r="P336" s="63" t="n">
        <v>0.07</v>
      </c>
      <c r="Q336" s="63" t="n">
        <v>0.07</v>
      </c>
      <c r="R336" s="63" t="n">
        <v>0.07</v>
      </c>
    </row>
    <row r="337" customFormat="false" ht="13.8" hidden="false" customHeight="false" outlineLevel="0" collapsed="false">
      <c r="A337" s="1"/>
      <c r="C337" s="1" t="s">
        <v>270</v>
      </c>
      <c r="K337" s="15" t="s">
        <v>80</v>
      </c>
      <c r="L337" s="90"/>
      <c r="M337" s="94"/>
      <c r="N337" s="94" t="n">
        <v>360</v>
      </c>
      <c r="O337" s="94"/>
      <c r="P337" s="94" t="n">
        <v>360</v>
      </c>
      <c r="Q337" s="94" t="n">
        <v>360</v>
      </c>
      <c r="R337" s="94" t="n">
        <v>360</v>
      </c>
    </row>
    <row r="338" customFormat="false" ht="14.9" hidden="false" customHeight="false" outlineLevel="0" collapsed="false">
      <c r="A338" s="1"/>
      <c r="B338" s="1"/>
      <c r="C338" s="1" t="s">
        <v>341</v>
      </c>
      <c r="D338" s="1"/>
      <c r="E338" s="1"/>
      <c r="F338" s="1"/>
      <c r="G338" s="1"/>
      <c r="H338" s="1"/>
      <c r="I338" s="1"/>
      <c r="J338" s="1"/>
      <c r="K338" s="15" t="s">
        <v>109</v>
      </c>
      <c r="L338" s="12"/>
      <c r="M338" s="63" t="b">
        <f aca="false">FALSE()</f>
        <v>0</v>
      </c>
      <c r="N338" s="63" t="b">
        <f aca="false">FALSE()</f>
        <v>0</v>
      </c>
      <c r="O338" s="63"/>
      <c r="P338" s="63" t="b">
        <f aca="false">FALSE()</f>
        <v>0</v>
      </c>
      <c r="Q338" s="63" t="b">
        <f aca="false">FALSE()</f>
        <v>0</v>
      </c>
      <c r="R338" s="63" t="b">
        <f aca="false">FALSE()</f>
        <v>0</v>
      </c>
    </row>
    <row r="339" customFormat="false" ht="13.8" hidden="false" customHeight="false" outlineLevel="0" collapsed="false">
      <c r="A339" s="1"/>
      <c r="B339" s="1"/>
      <c r="C339" s="1"/>
      <c r="D339" s="1"/>
      <c r="E339" s="1"/>
      <c r="F339" s="1"/>
      <c r="I339" s="1"/>
      <c r="J339" s="1"/>
      <c r="K339" s="1"/>
      <c r="L339" s="12"/>
      <c r="M339" s="1"/>
      <c r="N339" s="1"/>
      <c r="O339" s="1"/>
      <c r="P339" s="1"/>
      <c r="Q339" s="1"/>
      <c r="R339" s="1"/>
    </row>
    <row r="340" customFormat="false" ht="13.8" hidden="false" customHeight="false" outlineLevel="0" collapsed="false">
      <c r="A340" s="1"/>
      <c r="B340" s="11" t="n">
        <v>3</v>
      </c>
      <c r="C340" s="11" t="s">
        <v>342</v>
      </c>
      <c r="D340" s="11"/>
      <c r="E340" s="11"/>
      <c r="F340" s="11"/>
      <c r="G340" s="11"/>
      <c r="H340" s="11"/>
      <c r="I340" s="11"/>
      <c r="J340" s="11"/>
      <c r="K340" s="11"/>
      <c r="L340" s="11"/>
      <c r="M340" s="11"/>
      <c r="N340" s="11"/>
      <c r="O340" s="11"/>
      <c r="P340" s="11"/>
      <c r="Q340" s="11"/>
      <c r="R340" s="11"/>
    </row>
    <row r="341" customFormat="false" ht="13.8" hidden="false" customHeight="false" outlineLevel="0" collapsed="false">
      <c r="A341" s="1"/>
      <c r="B341" s="1"/>
      <c r="C341" s="1"/>
      <c r="D341" s="1"/>
      <c r="E341" s="1"/>
      <c r="F341" s="1"/>
      <c r="G341" s="1"/>
      <c r="H341" s="1"/>
      <c r="I341" s="1"/>
      <c r="J341" s="1"/>
      <c r="K341" s="1"/>
      <c r="L341" s="12"/>
    </row>
    <row r="342" customFormat="false" ht="13.8" hidden="false" customHeight="false" outlineLevel="0" collapsed="false">
      <c r="A342" s="1"/>
      <c r="C342" s="6" t="s">
        <v>59</v>
      </c>
      <c r="L342" s="90"/>
    </row>
    <row r="343" customFormat="false" ht="14.9" hidden="false" customHeight="false" outlineLevel="0" collapsed="false">
      <c r="A343" s="1"/>
      <c r="B343" s="1"/>
      <c r="C343" s="1" t="s">
        <v>343</v>
      </c>
      <c r="D343" s="1"/>
      <c r="E343" s="1"/>
      <c r="F343" s="1"/>
      <c r="G343" s="1"/>
      <c r="H343" s="1"/>
      <c r="I343" s="1"/>
      <c r="J343" s="1"/>
      <c r="K343" s="15" t="s">
        <v>109</v>
      </c>
      <c r="L343" s="12"/>
      <c r="M343" s="63"/>
      <c r="N343" s="63" t="b">
        <f aca="false">TRUE()</f>
        <v>1</v>
      </c>
      <c r="O343" s="63"/>
      <c r="P343" s="63" t="b">
        <f aca="false">TRUE()</f>
        <v>1</v>
      </c>
      <c r="Q343" s="63" t="b">
        <f aca="false">TRUE()</f>
        <v>1</v>
      </c>
      <c r="R343" s="63" t="b">
        <f aca="false">TRUE()</f>
        <v>1</v>
      </c>
    </row>
    <row r="344" customFormat="false" ht="13.8" hidden="false" customHeight="false" outlineLevel="0" collapsed="false">
      <c r="A344" s="1"/>
      <c r="B344" s="1"/>
      <c r="C344" s="1"/>
      <c r="D344" s="1"/>
      <c r="E344" s="1"/>
      <c r="F344" s="1"/>
      <c r="G344" s="1"/>
      <c r="H344" s="1"/>
      <c r="I344" s="1"/>
      <c r="J344" s="1"/>
      <c r="K344" s="1"/>
      <c r="L344" s="12"/>
      <c r="M344" s="1"/>
      <c r="N344" s="1"/>
      <c r="O344" s="1"/>
      <c r="P344" s="1"/>
      <c r="Q344" s="1"/>
      <c r="R344" s="1"/>
    </row>
    <row r="345" customFormat="false" ht="13.8" hidden="false" customHeight="false" outlineLevel="0" collapsed="false">
      <c r="A345" s="1"/>
      <c r="C345" s="5" t="s">
        <v>344</v>
      </c>
      <c r="K345" s="15" t="s">
        <v>109</v>
      </c>
      <c r="L345" s="12"/>
      <c r="M345" s="63"/>
      <c r="N345" s="63"/>
      <c r="O345" s="63"/>
      <c r="P345" s="63"/>
      <c r="Q345" s="63"/>
      <c r="R345" s="63"/>
    </row>
    <row r="346" customFormat="false" ht="13.8" hidden="false" customHeight="false" outlineLevel="0" collapsed="false">
      <c r="A346" s="1"/>
      <c r="C346" s="5" t="s">
        <v>345</v>
      </c>
      <c r="K346" s="15" t="s">
        <v>12</v>
      </c>
      <c r="L346" s="12"/>
      <c r="M346" s="106"/>
      <c r="N346" s="106"/>
      <c r="O346" s="106"/>
      <c r="P346" s="106"/>
      <c r="Q346" s="106"/>
      <c r="R346" s="106"/>
    </row>
    <row r="347" customFormat="false" ht="13.8" hidden="false" customHeight="false" outlineLevel="0" collapsed="false">
      <c r="A347" s="1"/>
      <c r="C347" s="5" t="s">
        <v>346</v>
      </c>
      <c r="K347" s="15" t="s">
        <v>25</v>
      </c>
      <c r="L347" s="12"/>
      <c r="M347" s="66"/>
      <c r="N347" s="66"/>
      <c r="O347" s="66"/>
      <c r="P347" s="66"/>
      <c r="Q347" s="66"/>
      <c r="R347" s="66"/>
    </row>
    <row r="348" customFormat="false" ht="13.8" hidden="false" customHeight="false" outlineLevel="0" collapsed="false">
      <c r="A348" s="1"/>
      <c r="C348" s="5" t="s">
        <v>347</v>
      </c>
      <c r="K348" s="15" t="s">
        <v>25</v>
      </c>
      <c r="L348" s="12"/>
      <c r="M348" s="66"/>
      <c r="N348" s="66"/>
      <c r="O348" s="66"/>
      <c r="P348" s="66"/>
      <c r="Q348" s="66"/>
      <c r="R348" s="66"/>
    </row>
    <row r="349" customFormat="false" ht="13.8" hidden="false" customHeight="false" outlineLevel="0" collapsed="false">
      <c r="C349" s="5" t="str">
        <f aca="false">"Fixed debt schedule activation (if activated, schedule to be paste in Sizing) "</f>
        <v>Fixed debt schedule activation (if activated, schedule to be paste in Sizing) </v>
      </c>
      <c r="K349" s="15" t="s">
        <v>109</v>
      </c>
      <c r="L349" s="12"/>
      <c r="M349" s="63"/>
      <c r="N349" s="63"/>
      <c r="O349" s="63"/>
      <c r="P349" s="63"/>
      <c r="Q349" s="63"/>
      <c r="R349" s="63"/>
    </row>
    <row r="350" customFormat="false" ht="13.8" hidden="false" customHeight="false" outlineLevel="0" collapsed="false">
      <c r="A350" s="1"/>
      <c r="B350" s="1"/>
      <c r="C350" s="1"/>
      <c r="D350" s="1"/>
      <c r="E350" s="1"/>
      <c r="F350" s="1"/>
      <c r="G350" s="1"/>
      <c r="H350" s="1"/>
      <c r="I350" s="1"/>
      <c r="J350" s="1"/>
      <c r="K350" s="1"/>
      <c r="L350" s="12"/>
    </row>
    <row r="351" customFormat="false" ht="13.8" hidden="false" customHeight="false" outlineLevel="0" collapsed="false">
      <c r="A351" s="1"/>
      <c r="B351" s="1"/>
      <c r="C351" s="14" t="s">
        <v>318</v>
      </c>
      <c r="D351" s="1"/>
      <c r="E351" s="1"/>
      <c r="F351" s="1"/>
      <c r="G351" s="1"/>
      <c r="H351" s="1"/>
      <c r="I351" s="1"/>
      <c r="J351" s="1"/>
      <c r="K351" s="1"/>
      <c r="L351" s="12"/>
      <c r="M351" s="1"/>
      <c r="N351" s="1"/>
      <c r="O351" s="1"/>
      <c r="P351" s="1"/>
      <c r="Q351" s="1"/>
      <c r="R351" s="1"/>
    </row>
    <row r="352" customFormat="false" ht="13.8" hidden="false" customHeight="false" outlineLevel="0" collapsed="false">
      <c r="A352" s="1"/>
      <c r="B352" s="1"/>
      <c r="C352" s="1" t="s">
        <v>348</v>
      </c>
      <c r="D352" s="1"/>
      <c r="E352" s="1"/>
      <c r="F352" s="1"/>
      <c r="G352" s="1"/>
      <c r="H352" s="1"/>
      <c r="I352" s="1"/>
      <c r="J352" s="1"/>
      <c r="K352" s="15" t="s">
        <v>80</v>
      </c>
      <c r="L352" s="12"/>
      <c r="M352" s="94"/>
      <c r="N352" s="94" t="s">
        <v>349</v>
      </c>
      <c r="O352" s="94"/>
      <c r="P352" s="94" t="s">
        <v>349</v>
      </c>
      <c r="Q352" s="94" t="s">
        <v>349</v>
      </c>
      <c r="R352" s="94" t="s">
        <v>349</v>
      </c>
    </row>
    <row r="353" customFormat="false" ht="13.8" hidden="false" customHeight="false" outlineLevel="0" collapsed="false">
      <c r="A353" s="1"/>
      <c r="B353" s="1"/>
      <c r="C353" s="1" t="s">
        <v>350</v>
      </c>
      <c r="D353" s="1"/>
      <c r="E353" s="1"/>
      <c r="F353" s="1"/>
      <c r="G353" s="1"/>
      <c r="H353" s="1"/>
      <c r="I353" s="1"/>
      <c r="J353" s="1"/>
      <c r="K353" s="15" t="s">
        <v>33</v>
      </c>
      <c r="L353" s="12"/>
      <c r="M353" s="63"/>
      <c r="N353" s="63" t="n">
        <v>0.5</v>
      </c>
      <c r="O353" s="63"/>
      <c r="P353" s="63" t="n">
        <v>0.5</v>
      </c>
      <c r="Q353" s="63" t="n">
        <v>0.5</v>
      </c>
      <c r="R353" s="63" t="n">
        <v>0.5</v>
      </c>
    </row>
    <row r="354" customFormat="false" ht="13.8" hidden="false" customHeight="false" outlineLevel="0" collapsed="false">
      <c r="A354" s="1"/>
      <c r="B354" s="1"/>
      <c r="C354" s="1"/>
      <c r="D354" s="1"/>
      <c r="E354" s="1"/>
      <c r="F354" s="1"/>
      <c r="G354" s="1"/>
      <c r="H354" s="1"/>
      <c r="I354" s="1"/>
      <c r="J354" s="1"/>
      <c r="K354" s="1"/>
      <c r="L354" s="12"/>
      <c r="M354" s="1"/>
      <c r="N354" s="1"/>
      <c r="O354" s="1"/>
      <c r="P354" s="1"/>
      <c r="Q354" s="1"/>
      <c r="R354" s="1"/>
    </row>
    <row r="355" customFormat="false" ht="13.8" hidden="false" customHeight="false" outlineLevel="0" collapsed="false">
      <c r="A355" s="1"/>
      <c r="B355" s="1"/>
      <c r="C355" s="14" t="s">
        <v>351</v>
      </c>
      <c r="D355" s="1"/>
      <c r="E355" s="1"/>
      <c r="F355" s="1"/>
      <c r="G355" s="1"/>
      <c r="H355" s="1"/>
      <c r="I355" s="1"/>
      <c r="J355" s="1"/>
      <c r="K355" s="1"/>
      <c r="L355" s="12"/>
      <c r="M355" s="1"/>
      <c r="N355" s="1"/>
      <c r="O355" s="1"/>
      <c r="P355" s="1"/>
      <c r="Q355" s="1"/>
      <c r="R355" s="1"/>
    </row>
    <row r="356" customFormat="false" ht="13.8" hidden="false" customHeight="false" outlineLevel="0" collapsed="false">
      <c r="A356" s="1"/>
      <c r="B356" s="1"/>
      <c r="C356" s="1" t="s">
        <v>352</v>
      </c>
      <c r="D356" s="1"/>
      <c r="E356" s="1"/>
      <c r="F356" s="1"/>
      <c r="G356" s="1"/>
      <c r="H356" s="1"/>
      <c r="I356" s="1"/>
      <c r="J356" s="1"/>
      <c r="K356" s="15" t="s">
        <v>43</v>
      </c>
      <c r="L356" s="12"/>
      <c r="M356" s="107"/>
      <c r="N356" s="107" t="n">
        <v>1</v>
      </c>
      <c r="O356" s="107"/>
      <c r="P356" s="107" t="n">
        <v>1</v>
      </c>
      <c r="Q356" s="107" t="n">
        <v>1</v>
      </c>
      <c r="R356" s="107" t="n">
        <v>1</v>
      </c>
    </row>
    <row r="357" customFormat="false" ht="14.9" hidden="false" customHeight="false" outlineLevel="0" collapsed="false">
      <c r="A357" s="1"/>
      <c r="B357" s="1"/>
      <c r="C357" s="1" t="s">
        <v>353</v>
      </c>
      <c r="D357" s="1"/>
      <c r="E357" s="1"/>
      <c r="F357" s="1"/>
      <c r="G357" s="1"/>
      <c r="H357" s="1"/>
      <c r="I357" s="1"/>
      <c r="J357" s="1"/>
      <c r="K357" s="15" t="s">
        <v>109</v>
      </c>
      <c r="L357" s="12"/>
      <c r="M357" s="63"/>
      <c r="N357" s="63" t="b">
        <f aca="false">FALSE()</f>
        <v>0</v>
      </c>
      <c r="O357" s="63"/>
      <c r="P357" s="63" t="b">
        <f aca="false">FALSE()</f>
        <v>0</v>
      </c>
      <c r="Q357" s="63" t="b">
        <f aca="false">FALSE()</f>
        <v>0</v>
      </c>
      <c r="R357" s="63" t="b">
        <f aca="false">FALSE()</f>
        <v>0</v>
      </c>
    </row>
    <row r="358" customFormat="false" ht="13.8" hidden="false" customHeight="false" outlineLevel="0" collapsed="false">
      <c r="A358" s="1"/>
      <c r="B358" s="1"/>
      <c r="L358" s="12"/>
    </row>
    <row r="359" customFormat="false" ht="13.8" hidden="false" customHeight="false" outlineLevel="0" collapsed="false">
      <c r="A359" s="1"/>
      <c r="B359" s="1"/>
      <c r="C359" s="1" t="s">
        <v>354</v>
      </c>
      <c r="D359" s="1"/>
      <c r="E359" s="1"/>
      <c r="F359" s="1"/>
      <c r="I359" s="1"/>
      <c r="J359" s="1"/>
      <c r="K359" s="15" t="s">
        <v>108</v>
      </c>
      <c r="L359" s="12"/>
      <c r="M359" s="67"/>
      <c r="N359" s="67" t="n">
        <v>1</v>
      </c>
      <c r="O359" s="67"/>
      <c r="P359" s="67" t="n">
        <v>1</v>
      </c>
      <c r="Q359" s="67" t="n">
        <v>1</v>
      </c>
      <c r="R359" s="67" t="n">
        <v>1</v>
      </c>
    </row>
    <row r="360" customFormat="false" ht="13.8" hidden="false" customHeight="false" outlineLevel="0" collapsed="false">
      <c r="A360" s="1"/>
      <c r="B360" s="1"/>
      <c r="C360" s="1" t="s">
        <v>355</v>
      </c>
      <c r="D360" s="1"/>
      <c r="E360" s="1"/>
      <c r="F360" s="1"/>
      <c r="I360" s="1"/>
      <c r="J360" s="1"/>
      <c r="K360" s="15" t="s">
        <v>108</v>
      </c>
      <c r="L360" s="12"/>
      <c r="M360" s="67"/>
      <c r="N360" s="67"/>
      <c r="O360" s="67"/>
      <c r="P360" s="67"/>
      <c r="Q360" s="67"/>
      <c r="R360" s="67"/>
    </row>
    <row r="361" customFormat="false" ht="13.8" hidden="false" customHeight="false" outlineLevel="0" collapsed="false">
      <c r="A361" s="1"/>
      <c r="B361" s="1"/>
      <c r="C361" s="1" t="s">
        <v>356</v>
      </c>
      <c r="D361" s="1"/>
      <c r="E361" s="1"/>
      <c r="F361" s="1"/>
      <c r="G361" s="1"/>
      <c r="H361" s="1"/>
      <c r="I361" s="1"/>
      <c r="J361" s="1"/>
      <c r="K361" s="15" t="s">
        <v>33</v>
      </c>
      <c r="L361" s="12"/>
      <c r="M361" s="63"/>
      <c r="N361" s="63" t="n">
        <v>0.6</v>
      </c>
      <c r="O361" s="63"/>
      <c r="P361" s="63" t="n">
        <v>0.6</v>
      </c>
      <c r="Q361" s="63" t="n">
        <v>0.6</v>
      </c>
      <c r="R361" s="63" t="n">
        <v>0.6</v>
      </c>
    </row>
    <row r="362" customFormat="false" ht="13.8" hidden="false" customHeight="false" outlineLevel="0" collapsed="false">
      <c r="A362" s="1"/>
      <c r="B362" s="1"/>
      <c r="C362" s="1"/>
      <c r="D362" s="1"/>
      <c r="E362" s="1"/>
      <c r="F362" s="1"/>
      <c r="G362" s="1"/>
      <c r="H362" s="1"/>
      <c r="I362" s="1"/>
      <c r="J362" s="1"/>
      <c r="K362" s="1"/>
      <c r="L362" s="12"/>
      <c r="M362" s="1"/>
      <c r="N362" s="1"/>
      <c r="O362" s="1"/>
      <c r="P362" s="1"/>
      <c r="Q362" s="1"/>
      <c r="R362" s="1"/>
    </row>
    <row r="363" customFormat="false" ht="13.8" hidden="false" customHeight="false" outlineLevel="0" collapsed="false">
      <c r="A363" s="1"/>
      <c r="B363" s="11" t="n">
        <v>4</v>
      </c>
      <c r="C363" s="11" t="s">
        <v>357</v>
      </c>
      <c r="D363" s="11"/>
      <c r="E363" s="11"/>
      <c r="F363" s="11"/>
      <c r="G363" s="11"/>
      <c r="H363" s="11"/>
      <c r="I363" s="11"/>
      <c r="J363" s="11"/>
      <c r="K363" s="11"/>
      <c r="L363" s="11"/>
      <c r="M363" s="11"/>
      <c r="N363" s="11"/>
      <c r="O363" s="11"/>
      <c r="P363" s="11"/>
      <c r="Q363" s="11"/>
      <c r="R363" s="11"/>
    </row>
    <row r="364" customFormat="false" ht="13.8" hidden="false" customHeight="false" outlineLevel="0" collapsed="false">
      <c r="A364" s="1"/>
      <c r="B364" s="1"/>
      <c r="C364" s="1"/>
      <c r="D364" s="1"/>
      <c r="E364" s="1"/>
      <c r="F364" s="1"/>
      <c r="G364" s="1"/>
      <c r="H364" s="1"/>
      <c r="I364" s="1"/>
      <c r="J364" s="1"/>
      <c r="K364" s="1"/>
      <c r="L364" s="12"/>
      <c r="M364" s="1"/>
      <c r="N364" s="1"/>
      <c r="O364" s="1"/>
      <c r="P364" s="1"/>
      <c r="Q364" s="1"/>
      <c r="R364" s="1"/>
    </row>
    <row r="365" customFormat="false" ht="13.8" hidden="false" customHeight="false" outlineLevel="0" collapsed="false">
      <c r="A365" s="1"/>
      <c r="B365" s="1"/>
      <c r="C365" s="14" t="s">
        <v>358</v>
      </c>
      <c r="D365" s="1"/>
      <c r="E365" s="1"/>
      <c r="F365" s="1"/>
      <c r="G365" s="1"/>
      <c r="H365" s="1"/>
      <c r="I365" s="1"/>
      <c r="J365" s="1"/>
      <c r="K365" s="1"/>
      <c r="L365" s="12"/>
      <c r="M365" s="1"/>
      <c r="N365" s="1"/>
      <c r="O365" s="1"/>
      <c r="P365" s="1"/>
      <c r="Q365" s="1"/>
      <c r="R365" s="1"/>
    </row>
    <row r="366" customFormat="false" ht="13.8" hidden="false" customHeight="false" outlineLevel="0" collapsed="false">
      <c r="A366" s="1"/>
      <c r="B366" s="1"/>
      <c r="C366" s="1" t="s">
        <v>359</v>
      </c>
      <c r="D366" s="1"/>
      <c r="E366" s="1"/>
      <c r="F366" s="1"/>
      <c r="G366" s="1"/>
      <c r="H366" s="1"/>
      <c r="I366" s="1"/>
      <c r="J366" s="1"/>
      <c r="K366" s="15" t="s">
        <v>108</v>
      </c>
      <c r="L366" s="12"/>
      <c r="M366" s="64" t="n">
        <v>240</v>
      </c>
      <c r="N366" s="64" t="n">
        <v>240</v>
      </c>
      <c r="O366" s="64"/>
      <c r="P366" s="64" t="n">
        <v>240</v>
      </c>
      <c r="Q366" s="64" t="n">
        <v>240</v>
      </c>
      <c r="R366" s="64" t="n">
        <v>240</v>
      </c>
    </row>
    <row r="367" customFormat="false" ht="13.8" hidden="false" customHeight="false" outlineLevel="0" collapsed="false">
      <c r="A367" s="1"/>
      <c r="B367" s="1"/>
      <c r="C367" s="1"/>
      <c r="D367" s="1"/>
      <c r="E367" s="1"/>
      <c r="F367" s="1"/>
      <c r="G367" s="1"/>
      <c r="H367" s="1"/>
      <c r="I367" s="1"/>
      <c r="J367" s="1"/>
      <c r="K367" s="1"/>
      <c r="L367" s="12"/>
      <c r="M367" s="1"/>
      <c r="N367" s="1"/>
      <c r="O367" s="1"/>
      <c r="P367" s="1"/>
      <c r="Q367" s="1"/>
      <c r="R367" s="1"/>
    </row>
    <row r="368" customFormat="false" ht="13.8" hidden="false" customHeight="false" outlineLevel="0" collapsed="false">
      <c r="A368" s="1"/>
      <c r="B368" s="11" t="n">
        <v>5</v>
      </c>
      <c r="C368" s="11" t="s">
        <v>360</v>
      </c>
      <c r="D368" s="11"/>
      <c r="E368" s="11"/>
      <c r="F368" s="11"/>
      <c r="G368" s="11"/>
      <c r="H368" s="11"/>
      <c r="I368" s="11"/>
      <c r="J368" s="11"/>
      <c r="K368" s="11"/>
      <c r="L368" s="11"/>
      <c r="M368" s="11"/>
      <c r="N368" s="11"/>
      <c r="O368" s="11"/>
      <c r="P368" s="11"/>
      <c r="Q368" s="11"/>
      <c r="R368" s="11"/>
    </row>
    <row r="369" customFormat="false" ht="13.8" hidden="false" customHeight="false" outlineLevel="0" collapsed="false">
      <c r="A369" s="1"/>
      <c r="B369" s="1"/>
      <c r="C369" s="1"/>
      <c r="D369" s="1"/>
      <c r="E369" s="1"/>
      <c r="F369" s="1"/>
      <c r="G369" s="1"/>
      <c r="H369" s="1"/>
      <c r="I369" s="1"/>
      <c r="J369" s="1"/>
      <c r="K369" s="1"/>
      <c r="L369" s="12"/>
      <c r="M369" s="1"/>
      <c r="N369" s="1"/>
      <c r="O369" s="1"/>
      <c r="P369" s="1"/>
      <c r="Q369" s="1"/>
      <c r="R369" s="1"/>
    </row>
    <row r="370" customFormat="false" ht="13.8" hidden="false" customHeight="false" outlineLevel="0" collapsed="false">
      <c r="A370" s="1"/>
      <c r="B370" s="1"/>
      <c r="C370" s="6" t="s">
        <v>361</v>
      </c>
      <c r="D370" s="1"/>
      <c r="E370" s="1"/>
      <c r="F370" s="1"/>
      <c r="G370" s="1"/>
      <c r="H370" s="1"/>
      <c r="I370" s="1"/>
      <c r="J370" s="1"/>
      <c r="K370" s="1"/>
      <c r="L370" s="12"/>
      <c r="M370" s="1"/>
      <c r="N370" s="1"/>
      <c r="O370" s="1"/>
      <c r="P370" s="1"/>
      <c r="Q370" s="1"/>
      <c r="R370" s="1"/>
    </row>
    <row r="371" customFormat="false" ht="13.8" hidden="false" customHeight="false" outlineLevel="0" collapsed="false">
      <c r="B371" s="1"/>
      <c r="C371" s="1" t="s">
        <v>362</v>
      </c>
      <c r="D371" s="1"/>
      <c r="E371" s="1"/>
      <c r="F371" s="1"/>
      <c r="G371" s="1"/>
      <c r="H371" s="1"/>
      <c r="I371" s="1"/>
      <c r="J371" s="1"/>
      <c r="K371" s="15" t="s">
        <v>33</v>
      </c>
      <c r="L371" s="12"/>
      <c r="M371" s="63"/>
      <c r="N371" s="63" t="n">
        <v>0.08</v>
      </c>
      <c r="O371" s="63"/>
      <c r="P371" s="63" t="n">
        <v>0.08</v>
      </c>
      <c r="Q371" s="63" t="n">
        <v>0.08</v>
      </c>
      <c r="R371" s="63" t="n">
        <v>0.08</v>
      </c>
    </row>
    <row r="372" customFormat="false" ht="13.8" hidden="false" customHeight="false" outlineLevel="0" collapsed="false">
      <c r="A372" s="1"/>
      <c r="B372" s="1"/>
      <c r="C372" s="1"/>
      <c r="D372" s="1"/>
      <c r="E372" s="1"/>
      <c r="F372" s="1"/>
      <c r="G372" s="1"/>
      <c r="H372" s="1"/>
      <c r="I372" s="1"/>
      <c r="J372" s="1"/>
      <c r="K372" s="1"/>
      <c r="L372" s="12"/>
      <c r="M372" s="1"/>
      <c r="N372" s="1"/>
      <c r="O372" s="1"/>
      <c r="P372" s="1"/>
      <c r="Q372" s="1"/>
      <c r="R372" s="1"/>
    </row>
    <row r="373" customFormat="false" ht="13.8" hidden="false" customHeight="false" outlineLevel="0" collapsed="false">
      <c r="A373" s="1"/>
      <c r="B373" s="1"/>
      <c r="C373" s="6" t="s">
        <v>363</v>
      </c>
      <c r="D373" s="1"/>
      <c r="E373" s="1"/>
      <c r="F373" s="1"/>
      <c r="G373" s="1"/>
      <c r="H373" s="1"/>
      <c r="I373" s="1"/>
      <c r="J373" s="1"/>
      <c r="K373" s="1"/>
      <c r="L373" s="12"/>
      <c r="M373" s="1"/>
      <c r="N373" s="1"/>
      <c r="O373" s="1"/>
      <c r="P373" s="1"/>
      <c r="Q373" s="1"/>
      <c r="R373" s="1"/>
    </row>
    <row r="374" customFormat="false" ht="13.8" hidden="false" customHeight="false" outlineLevel="0" collapsed="false">
      <c r="A374" s="1"/>
      <c r="B374" s="1"/>
      <c r="C374" s="1" t="s">
        <v>364</v>
      </c>
      <c r="D374" s="1"/>
      <c r="E374" s="1"/>
      <c r="F374" s="1"/>
      <c r="G374" s="1"/>
      <c r="H374" s="1"/>
      <c r="I374" s="1"/>
      <c r="J374" s="1"/>
      <c r="K374" s="15" t="s">
        <v>12</v>
      </c>
      <c r="L374" s="12"/>
      <c r="M374" s="106" t="n">
        <v>1</v>
      </c>
      <c r="N374" s="106" t="n">
        <v>1</v>
      </c>
      <c r="O374" s="106"/>
      <c r="P374" s="106" t="n">
        <v>1</v>
      </c>
      <c r="Q374" s="106" t="n">
        <v>1</v>
      </c>
      <c r="R374" s="106" t="n">
        <v>1</v>
      </c>
    </row>
    <row r="375" customFormat="false" ht="13.8" hidden="false" customHeight="false" outlineLevel="0" collapsed="false">
      <c r="A375" s="1"/>
      <c r="B375" s="1"/>
      <c r="C375" s="1"/>
      <c r="D375" s="1"/>
      <c r="E375" s="1"/>
      <c r="F375" s="1"/>
      <c r="G375" s="1"/>
      <c r="H375" s="1"/>
      <c r="I375" s="1"/>
      <c r="J375" s="1"/>
      <c r="K375" s="1"/>
      <c r="L375" s="12"/>
    </row>
    <row r="376" customFormat="false" ht="13.8" hidden="false" customHeight="false" outlineLevel="0" collapsed="false">
      <c r="A376" s="1"/>
      <c r="B376" s="1"/>
      <c r="C376" s="6" t="s">
        <v>365</v>
      </c>
      <c r="D376" s="1"/>
      <c r="E376" s="1"/>
      <c r="F376" s="1"/>
      <c r="G376" s="1"/>
      <c r="H376" s="1"/>
      <c r="I376" s="1"/>
      <c r="J376" s="1"/>
      <c r="K376" s="1"/>
      <c r="L376" s="12"/>
    </row>
    <row r="377" customFormat="false" ht="14.9" hidden="false" customHeight="false" outlineLevel="0" collapsed="false">
      <c r="A377" s="1"/>
      <c r="B377" s="1"/>
      <c r="C377" s="1" t="s">
        <v>366</v>
      </c>
      <c r="D377" s="1"/>
      <c r="E377" s="1"/>
      <c r="F377" s="1"/>
      <c r="G377" s="1"/>
      <c r="H377" s="1"/>
      <c r="I377" s="1"/>
      <c r="J377" s="1"/>
      <c r="K377" s="15" t="s">
        <v>109</v>
      </c>
      <c r="L377" s="12"/>
      <c r="M377" s="63" t="b">
        <f aca="false">FALSE()</f>
        <v>0</v>
      </c>
      <c r="N377" s="63" t="b">
        <f aca="false">FALSE()</f>
        <v>0</v>
      </c>
      <c r="O377" s="63"/>
      <c r="P377" s="63" t="b">
        <f aca="false">FALSE()</f>
        <v>0</v>
      </c>
      <c r="Q377" s="63" t="b">
        <f aca="false">FALSE()</f>
        <v>0</v>
      </c>
      <c r="R377" s="63" t="b">
        <f aca="false">FALSE()</f>
        <v>0</v>
      </c>
    </row>
    <row r="378" customFormat="false" ht="13.8" hidden="false" customHeight="false" outlineLevel="0" collapsed="false">
      <c r="A378" s="1"/>
      <c r="B378" s="1"/>
      <c r="C378" s="1" t="s">
        <v>367</v>
      </c>
      <c r="D378" s="1"/>
      <c r="E378" s="1"/>
      <c r="F378" s="1"/>
      <c r="G378" s="1"/>
      <c r="H378" s="1"/>
      <c r="I378" s="1"/>
      <c r="J378" s="1"/>
      <c r="K378" s="15" t="s">
        <v>80</v>
      </c>
      <c r="L378" s="12"/>
      <c r="M378" s="94"/>
      <c r="N378" s="94"/>
      <c r="O378" s="94"/>
      <c r="P378" s="94"/>
      <c r="Q378" s="94"/>
      <c r="R378" s="94"/>
    </row>
    <row r="379" customFormat="false" ht="13.8" hidden="false" customHeight="false" outlineLevel="0" collapsed="false">
      <c r="A379" s="1"/>
      <c r="L379" s="90"/>
    </row>
    <row r="380" customFormat="false" ht="13.8" hidden="false" customHeight="false" outlineLevel="0" collapsed="false">
      <c r="A380" s="1"/>
      <c r="C380" s="5" t="s">
        <v>368</v>
      </c>
      <c r="K380" s="15" t="s">
        <v>109</v>
      </c>
      <c r="L380" s="12"/>
      <c r="M380" s="63"/>
      <c r="N380" s="63"/>
      <c r="O380" s="63"/>
      <c r="P380" s="63"/>
      <c r="Q380" s="63"/>
      <c r="R380" s="63"/>
    </row>
    <row r="381" customFormat="false" ht="13.8" hidden="false" customHeight="false" outlineLevel="0" collapsed="false">
      <c r="A381" s="1"/>
      <c r="C381" s="5" t="s">
        <v>369</v>
      </c>
      <c r="K381" s="15" t="s">
        <v>12</v>
      </c>
      <c r="L381" s="12"/>
      <c r="M381" s="106"/>
      <c r="N381" s="106"/>
      <c r="O381" s="106"/>
      <c r="P381" s="106"/>
      <c r="Q381" s="106"/>
      <c r="R381" s="106"/>
    </row>
    <row r="382" customFormat="false" ht="13.8" hidden="false" customHeight="false" outlineLevel="0" collapsed="false">
      <c r="A382" s="1"/>
      <c r="B382" s="1"/>
      <c r="C382" s="1" t="s">
        <v>370</v>
      </c>
      <c r="D382" s="1"/>
      <c r="E382" s="1"/>
      <c r="F382" s="1"/>
      <c r="G382" s="1"/>
      <c r="H382" s="1"/>
      <c r="I382" s="1"/>
      <c r="J382" s="1"/>
      <c r="K382" s="15" t="s">
        <v>33</v>
      </c>
      <c r="L382" s="12"/>
      <c r="M382" s="63"/>
      <c r="N382" s="63"/>
      <c r="O382" s="63"/>
      <c r="P382" s="63"/>
      <c r="Q382" s="63"/>
      <c r="R382" s="63"/>
    </row>
    <row r="383" customFormat="false" ht="13.8" hidden="false" customHeight="false" outlineLevel="0" collapsed="false">
      <c r="A383" s="1"/>
      <c r="L383" s="90"/>
    </row>
    <row r="384" customFormat="false" ht="13.8" hidden="false" customHeight="false" outlineLevel="0" collapsed="false">
      <c r="A384" s="1"/>
      <c r="B384" s="1"/>
      <c r="C384" s="1" t="s">
        <v>371</v>
      </c>
      <c r="D384" s="1"/>
      <c r="E384" s="1"/>
      <c r="F384" s="1"/>
      <c r="G384" s="1"/>
      <c r="H384" s="1"/>
      <c r="I384" s="1"/>
      <c r="J384" s="1"/>
      <c r="K384" s="15" t="s">
        <v>33</v>
      </c>
      <c r="L384" s="12"/>
      <c r="M384" s="63"/>
      <c r="N384" s="63"/>
      <c r="O384" s="63"/>
      <c r="P384" s="63"/>
      <c r="Q384" s="63"/>
      <c r="R384" s="63"/>
    </row>
    <row r="385" customFormat="false" ht="13.8" hidden="false" customHeight="false" outlineLevel="0" collapsed="false">
      <c r="A385" s="1"/>
      <c r="B385" s="1"/>
      <c r="C385" s="1" t="s">
        <v>372</v>
      </c>
      <c r="D385" s="1"/>
      <c r="E385" s="1"/>
      <c r="F385" s="1"/>
      <c r="G385" s="1"/>
      <c r="H385" s="1"/>
      <c r="I385" s="1"/>
      <c r="J385" s="1"/>
      <c r="K385" s="15" t="s">
        <v>109</v>
      </c>
      <c r="L385" s="12"/>
      <c r="M385" s="63"/>
      <c r="N385" s="63"/>
      <c r="O385" s="63"/>
      <c r="P385" s="63"/>
      <c r="Q385" s="63"/>
      <c r="R385" s="63"/>
    </row>
    <row r="386" customFormat="false" ht="13.8" hidden="false" customHeight="false" outlineLevel="0" collapsed="false">
      <c r="C386" s="1" t="s">
        <v>270</v>
      </c>
      <c r="K386" s="15" t="s">
        <v>80</v>
      </c>
      <c r="L386" s="90"/>
      <c r="M386" s="94"/>
      <c r="N386" s="94"/>
      <c r="O386" s="94"/>
      <c r="P386" s="94"/>
      <c r="Q386" s="94"/>
      <c r="R386" s="94"/>
    </row>
    <row r="387" customFormat="false" ht="13.8" hidden="false" customHeight="false" outlineLevel="0" collapsed="false">
      <c r="A387" s="1"/>
      <c r="B387" s="1"/>
      <c r="C387" s="1" t="s">
        <v>373</v>
      </c>
      <c r="D387" s="1"/>
      <c r="E387" s="1"/>
      <c r="F387" s="1"/>
      <c r="G387" s="1"/>
      <c r="H387" s="1"/>
      <c r="I387" s="1"/>
      <c r="J387" s="1"/>
      <c r="K387" s="15" t="s">
        <v>25</v>
      </c>
      <c r="L387" s="12"/>
      <c r="M387" s="109"/>
      <c r="N387" s="109"/>
      <c r="O387" s="109"/>
      <c r="P387" s="109"/>
      <c r="Q387" s="109"/>
      <c r="R387" s="109"/>
    </row>
    <row r="388" customFormat="false" ht="13.8" hidden="false" customHeight="false" outlineLevel="0" collapsed="false">
      <c r="A388" s="1"/>
      <c r="B388" s="1"/>
      <c r="C388" s="1" t="s">
        <v>374</v>
      </c>
      <c r="D388" s="1"/>
      <c r="E388" s="1"/>
      <c r="F388" s="1"/>
      <c r="G388" s="1"/>
      <c r="H388" s="1"/>
      <c r="I388" s="1"/>
      <c r="J388" s="1"/>
      <c r="K388" s="15" t="s">
        <v>25</v>
      </c>
      <c r="L388" s="12"/>
      <c r="M388" s="109"/>
      <c r="N388" s="109"/>
      <c r="O388" s="109"/>
      <c r="P388" s="109"/>
      <c r="Q388" s="109"/>
      <c r="R388" s="109"/>
    </row>
    <row r="389" customFormat="false" ht="13.8" hidden="false" customHeight="false" outlineLevel="0" collapsed="false">
      <c r="A389" s="1"/>
      <c r="B389" s="1"/>
      <c r="C389" s="1" t="s">
        <v>375</v>
      </c>
      <c r="D389" s="1"/>
      <c r="E389" s="1"/>
      <c r="F389" s="1"/>
      <c r="G389" s="1"/>
      <c r="H389" s="1"/>
      <c r="I389" s="1"/>
      <c r="J389" s="1"/>
      <c r="K389" s="15" t="s">
        <v>25</v>
      </c>
      <c r="L389" s="12"/>
      <c r="M389" s="110" t="n">
        <f aca="false">IFERROR(IF(M388&lt;&gt;0,M388,_xlfn.MINIFS(Construction_End,#REF!,M5)),0)</f>
        <v>0</v>
      </c>
      <c r="N389" s="110" t="n">
        <f aca="false">IFERROR(IF(N388&lt;&gt;0,N388,_xlfn.MINIFS(Construction_End,#REF!,N5)),0)</f>
        <v>0</v>
      </c>
      <c r="O389" s="110"/>
      <c r="P389" s="110" t="n">
        <f aca="false">IFERROR(IF(P388&lt;&gt;0,P388,_xlfn.MINIFS(Construction_End,#REF!,P5)),0)</f>
        <v>0</v>
      </c>
      <c r="Q389" s="110" t="n">
        <f aca="false">IFERROR(IF(Q388&lt;&gt;0,Q388,_xlfn.MINIFS(Construction_End,#REF!,Q5)),0)</f>
        <v>0</v>
      </c>
      <c r="R389" s="110" t="n">
        <f aca="false">IFERROR(IF(R388&lt;&gt;0,R388,_xlfn.MINIFS(Construction_End,#REF!,R5)),0)</f>
        <v>0</v>
      </c>
    </row>
    <row r="390" customFormat="false" ht="13.8" hidden="false" customHeight="false" outlineLevel="0" collapsed="false">
      <c r="A390" s="1"/>
      <c r="B390" s="1"/>
      <c r="C390" s="1" t="s">
        <v>376</v>
      </c>
      <c r="D390" s="1"/>
      <c r="E390" s="1"/>
      <c r="F390" s="1"/>
      <c r="G390" s="1"/>
      <c r="H390" s="1"/>
      <c r="I390" s="1"/>
      <c r="J390" s="1"/>
      <c r="K390" s="15" t="s">
        <v>377</v>
      </c>
      <c r="L390" s="12"/>
      <c r="M390" s="64"/>
      <c r="N390" s="64"/>
      <c r="O390" s="64"/>
      <c r="P390" s="64"/>
      <c r="Q390" s="64"/>
      <c r="R390" s="64"/>
    </row>
    <row r="391" customFormat="false" ht="13.8" hidden="false" customHeight="false" outlineLevel="0" collapsed="false">
      <c r="A391" s="1"/>
      <c r="B391" s="1"/>
      <c r="C391" s="1" t="s">
        <v>378</v>
      </c>
      <c r="D391" s="1"/>
      <c r="E391" s="1"/>
      <c r="F391" s="1"/>
      <c r="G391" s="1"/>
      <c r="H391" s="1"/>
      <c r="I391" s="1"/>
      <c r="J391" s="1"/>
      <c r="K391" s="15" t="s">
        <v>25</v>
      </c>
      <c r="L391" s="12"/>
      <c r="M391" s="111" t="n">
        <f aca="false">EDATE(M389,M390)</f>
        <v>0</v>
      </c>
      <c r="N391" s="111" t="n">
        <f aca="false">EDATE(N389,N390)</f>
        <v>0</v>
      </c>
      <c r="O391" s="111"/>
      <c r="P391" s="111" t="n">
        <f aca="false">EDATE(P389,P390)</f>
        <v>0</v>
      </c>
      <c r="Q391" s="111" t="n">
        <f aca="false">EDATE(Q389,Q390)</f>
        <v>0</v>
      </c>
      <c r="R391" s="111" t="n">
        <f aca="false">EDATE(R389,R390)</f>
        <v>0</v>
      </c>
    </row>
    <row r="392" customFormat="false" ht="13.8" hidden="false" customHeight="false" outlineLevel="0" collapsed="false">
      <c r="A392" s="1"/>
      <c r="B392" s="1"/>
      <c r="C392" s="1"/>
      <c r="D392" s="1"/>
      <c r="E392" s="1"/>
      <c r="F392" s="1"/>
      <c r="G392" s="1"/>
      <c r="H392" s="1"/>
      <c r="I392" s="1"/>
      <c r="J392" s="1"/>
      <c r="K392" s="1"/>
      <c r="L392" s="12"/>
    </row>
    <row r="393" customFormat="false" ht="13.8" hidden="false" customHeight="false" outlineLevel="0" collapsed="false">
      <c r="A393" s="1"/>
      <c r="B393" s="1"/>
      <c r="C393" s="6" t="s">
        <v>379</v>
      </c>
      <c r="D393" s="1"/>
      <c r="E393" s="1"/>
      <c r="F393" s="1"/>
      <c r="G393" s="1"/>
      <c r="H393" s="1"/>
      <c r="I393" s="1"/>
      <c r="J393" s="1"/>
      <c r="K393" s="1"/>
      <c r="L393" s="12"/>
      <c r="M393" s="1"/>
      <c r="N393" s="1"/>
      <c r="O393" s="1"/>
      <c r="P393" s="1"/>
      <c r="Q393" s="1"/>
      <c r="R393" s="1"/>
    </row>
    <row r="394" customFormat="false" ht="14.9" hidden="false" customHeight="false" outlineLevel="0" collapsed="false">
      <c r="A394" s="1"/>
      <c r="B394" s="1"/>
      <c r="C394" s="1" t="s">
        <v>380</v>
      </c>
      <c r="D394" s="1"/>
      <c r="E394" s="1"/>
      <c r="F394" s="1"/>
      <c r="G394" s="1"/>
      <c r="H394" s="1"/>
      <c r="I394" s="1"/>
      <c r="J394" s="1"/>
      <c r="K394" s="15" t="s">
        <v>109</v>
      </c>
      <c r="L394" s="12"/>
      <c r="M394" s="63" t="b">
        <f aca="false">FALSE()</f>
        <v>0</v>
      </c>
      <c r="N394" s="63" t="b">
        <f aca="false">FALSE()</f>
        <v>0</v>
      </c>
      <c r="O394" s="63"/>
      <c r="P394" s="63" t="b">
        <f aca="false">FALSE()</f>
        <v>0</v>
      </c>
      <c r="Q394" s="63" t="b">
        <f aca="false">FALSE()</f>
        <v>0</v>
      </c>
      <c r="R394" s="63" t="b">
        <f aca="false">FALSE()</f>
        <v>0</v>
      </c>
    </row>
    <row r="395" customFormat="false" ht="13.8" hidden="false" customHeight="false" outlineLevel="0" collapsed="false">
      <c r="A395" s="1"/>
      <c r="B395" s="1"/>
      <c r="C395" s="1" t="str">
        <f aca="false">"Part of SHL in financing perimeter phase "&amp;I57</f>
        <v>Part of SHL in financing perimeter phase 1</v>
      </c>
      <c r="D395" s="1"/>
      <c r="E395" s="1"/>
      <c r="F395" s="1"/>
      <c r="G395" s="1"/>
      <c r="H395" s="1"/>
      <c r="I395" s="1"/>
      <c r="J395" s="1"/>
      <c r="K395" s="15" t="s">
        <v>33</v>
      </c>
      <c r="L395" s="12"/>
      <c r="M395" s="89" t="n">
        <v>1</v>
      </c>
      <c r="N395" s="89" t="n">
        <v>1</v>
      </c>
      <c r="O395" s="89"/>
      <c r="P395" s="89" t="n">
        <v>1</v>
      </c>
      <c r="Q395" s="89" t="n">
        <v>1</v>
      </c>
      <c r="R395" s="89" t="n">
        <v>1</v>
      </c>
    </row>
    <row r="396" customFormat="false" ht="13.8" hidden="false" customHeight="false" outlineLevel="0" collapsed="false">
      <c r="A396" s="1"/>
      <c r="B396" s="1"/>
      <c r="C396" s="1" t="str">
        <f aca="false">"Part of SHL in financing perimeter phase "&amp;I58</f>
        <v>Part of SHL in financing perimeter phase 2</v>
      </c>
      <c r="D396" s="1"/>
      <c r="E396" s="1"/>
      <c r="F396" s="1"/>
      <c r="G396" s="1"/>
      <c r="H396" s="1"/>
      <c r="I396" s="1"/>
      <c r="J396" s="1"/>
      <c r="K396" s="15" t="s">
        <v>33</v>
      </c>
      <c r="L396" s="12"/>
      <c r="M396" s="89"/>
      <c r="N396" s="89"/>
      <c r="O396" s="89"/>
      <c r="P396" s="89"/>
      <c r="Q396" s="89"/>
      <c r="R396" s="89"/>
    </row>
    <row r="397" customFormat="false" ht="13.8" hidden="false" customHeight="false" outlineLevel="0" collapsed="false">
      <c r="A397" s="1"/>
      <c r="B397" s="1"/>
      <c r="C397" s="1" t="str">
        <f aca="false">"Part of SHL in financing perimeter phase "&amp;I59</f>
        <v>Part of SHL in financing perimeter phase 3</v>
      </c>
      <c r="D397" s="1"/>
      <c r="E397" s="1"/>
      <c r="F397" s="1"/>
      <c r="G397" s="1"/>
      <c r="H397" s="1"/>
      <c r="I397" s="1"/>
      <c r="J397" s="1"/>
      <c r="K397" s="15" t="s">
        <v>33</v>
      </c>
      <c r="L397" s="12"/>
      <c r="M397" s="89"/>
      <c r="N397" s="89"/>
      <c r="O397" s="89"/>
      <c r="P397" s="89"/>
      <c r="Q397" s="89"/>
      <c r="R397" s="89"/>
    </row>
    <row r="398" customFormat="false" ht="13.8" hidden="false" customHeight="false" outlineLevel="0" collapsed="false">
      <c r="A398" s="1"/>
      <c r="B398" s="1"/>
      <c r="C398" s="1" t="str">
        <f aca="false">"Part of SHL in financing perimeter phase "&amp;I60</f>
        <v>Part of SHL in financing perimeter phase 4</v>
      </c>
      <c r="D398" s="1"/>
      <c r="E398" s="1"/>
      <c r="F398" s="1"/>
      <c r="G398" s="1"/>
      <c r="H398" s="1"/>
      <c r="I398" s="1"/>
      <c r="J398" s="1"/>
      <c r="K398" s="15" t="s">
        <v>33</v>
      </c>
      <c r="L398" s="12"/>
      <c r="M398" s="89"/>
      <c r="N398" s="89"/>
      <c r="O398" s="89"/>
      <c r="P398" s="89"/>
      <c r="Q398" s="89"/>
      <c r="R398" s="89"/>
    </row>
    <row r="399" customFormat="false" ht="13.8" hidden="false" customHeight="false" outlineLevel="0" collapsed="false">
      <c r="A399" s="1"/>
      <c r="B399" s="1"/>
      <c r="C399" s="1" t="str">
        <f aca="false">"Part of SHL in financing perimeter phase "&amp;I61</f>
        <v>Part of SHL in financing perimeter phase 5</v>
      </c>
      <c r="D399" s="1"/>
      <c r="E399" s="1"/>
      <c r="F399" s="1"/>
      <c r="G399" s="1"/>
      <c r="H399" s="1"/>
      <c r="I399" s="1"/>
      <c r="J399" s="1"/>
      <c r="K399" s="15" t="s">
        <v>33</v>
      </c>
      <c r="L399" s="12"/>
      <c r="M399" s="89"/>
      <c r="N399" s="89"/>
      <c r="O399" s="89"/>
      <c r="P399" s="89"/>
      <c r="Q399" s="89"/>
      <c r="R399" s="89"/>
    </row>
    <row r="400" customFormat="false" ht="13.8" hidden="false" customHeight="false" outlineLevel="0" collapsed="false">
      <c r="A400" s="1"/>
      <c r="B400" s="1"/>
      <c r="C400" s="1" t="str">
        <f aca="false">"Part of SHL in financing perimeter phase "&amp;I62</f>
        <v>Part of SHL in financing perimeter phase 6</v>
      </c>
      <c r="D400" s="1"/>
      <c r="E400" s="1"/>
      <c r="F400" s="1"/>
      <c r="G400" s="1"/>
      <c r="H400" s="1"/>
      <c r="I400" s="1"/>
      <c r="J400" s="1"/>
      <c r="K400" s="15" t="s">
        <v>33</v>
      </c>
      <c r="L400" s="12"/>
      <c r="M400" s="89"/>
      <c r="N400" s="89"/>
      <c r="O400" s="89"/>
      <c r="P400" s="89"/>
      <c r="Q400" s="89"/>
      <c r="R400" s="89"/>
    </row>
    <row r="401" customFormat="false" ht="13.8" hidden="false" customHeight="false" outlineLevel="0" collapsed="false">
      <c r="A401" s="1"/>
      <c r="B401" s="1"/>
      <c r="C401" s="1" t="str">
        <f aca="false">"Part of SHL in financing perimeter phase "&amp;I63</f>
        <v>Part of SHL in financing perimeter phase 7</v>
      </c>
      <c r="D401" s="1"/>
      <c r="E401" s="1"/>
      <c r="F401" s="1"/>
      <c r="G401" s="1"/>
      <c r="H401" s="1"/>
      <c r="I401" s="1"/>
      <c r="J401" s="1"/>
      <c r="K401" s="15" t="s">
        <v>33</v>
      </c>
      <c r="L401" s="12"/>
      <c r="M401" s="89"/>
      <c r="N401" s="89"/>
      <c r="O401" s="89"/>
      <c r="P401" s="89"/>
      <c r="Q401" s="89"/>
      <c r="R401" s="89"/>
    </row>
    <row r="402" customFormat="false" ht="13.8" hidden="false" customHeight="false" outlineLevel="0" collapsed="false">
      <c r="A402" s="1"/>
      <c r="B402" s="1"/>
      <c r="C402" s="1" t="str">
        <f aca="false">"Part of SHL in financing perimeter phase "&amp;I64</f>
        <v>Part of SHL in financing perimeter phase 8</v>
      </c>
      <c r="D402" s="1"/>
      <c r="E402" s="1"/>
      <c r="F402" s="1"/>
      <c r="G402" s="1"/>
      <c r="H402" s="1"/>
      <c r="I402" s="1"/>
      <c r="J402" s="1"/>
      <c r="K402" s="15" t="s">
        <v>33</v>
      </c>
      <c r="L402" s="12"/>
      <c r="M402" s="89"/>
      <c r="N402" s="89"/>
      <c r="O402" s="89"/>
      <c r="P402" s="89"/>
      <c r="Q402" s="89"/>
      <c r="R402" s="89"/>
    </row>
    <row r="403" customFormat="false" ht="13.8" hidden="false" customHeight="false" outlineLevel="0" collapsed="false">
      <c r="A403" s="1"/>
      <c r="B403" s="1"/>
      <c r="C403" s="1" t="str">
        <f aca="false">"SHL interest rate phase "&amp;I57</f>
        <v>SHL interest rate phase 1</v>
      </c>
      <c r="D403" s="1"/>
      <c r="E403" s="1"/>
      <c r="F403" s="1"/>
      <c r="G403" s="1"/>
      <c r="H403" s="1"/>
      <c r="I403" s="1"/>
      <c r="J403" s="1"/>
      <c r="K403" s="15" t="s">
        <v>33</v>
      </c>
      <c r="L403" s="12"/>
      <c r="M403" s="89" t="n">
        <v>0.052</v>
      </c>
      <c r="N403" s="89" t="n">
        <v>0.052</v>
      </c>
      <c r="O403" s="89"/>
      <c r="P403" s="89" t="n">
        <v>0.052</v>
      </c>
      <c r="Q403" s="89" t="n">
        <v>0.052</v>
      </c>
      <c r="R403" s="89" t="n">
        <v>0.052</v>
      </c>
    </row>
    <row r="404" customFormat="false" ht="13.8" hidden="false" customHeight="false" outlineLevel="0" collapsed="false">
      <c r="A404" s="1"/>
      <c r="B404" s="1"/>
      <c r="C404" s="1" t="str">
        <f aca="false">"SHL interest rate phase "&amp;I58</f>
        <v>SHL interest rate phase 2</v>
      </c>
      <c r="D404" s="1"/>
      <c r="E404" s="1"/>
      <c r="F404" s="1"/>
      <c r="G404" s="1"/>
      <c r="H404" s="1"/>
      <c r="I404" s="1"/>
      <c r="J404" s="1"/>
      <c r="K404" s="15" t="s">
        <v>33</v>
      </c>
      <c r="L404" s="12"/>
      <c r="M404" s="89"/>
      <c r="N404" s="89"/>
      <c r="O404" s="89"/>
      <c r="P404" s="89"/>
      <c r="Q404" s="89"/>
      <c r="R404" s="89"/>
    </row>
    <row r="405" customFormat="false" ht="13.8" hidden="false" customHeight="false" outlineLevel="0" collapsed="false">
      <c r="A405" s="1"/>
      <c r="B405" s="1"/>
      <c r="C405" s="1" t="str">
        <f aca="false">"SHL interest rate phase "&amp;I59</f>
        <v>SHL interest rate phase 3</v>
      </c>
      <c r="D405" s="1"/>
      <c r="E405" s="1"/>
      <c r="F405" s="1"/>
      <c r="G405" s="1"/>
      <c r="H405" s="1"/>
      <c r="I405" s="1"/>
      <c r="J405" s="1"/>
      <c r="K405" s="15" t="s">
        <v>33</v>
      </c>
      <c r="L405" s="12"/>
      <c r="M405" s="89"/>
      <c r="N405" s="89"/>
      <c r="O405" s="89"/>
      <c r="P405" s="89"/>
      <c r="Q405" s="89"/>
      <c r="R405" s="89"/>
    </row>
    <row r="406" customFormat="false" ht="13.8" hidden="false" customHeight="false" outlineLevel="0" collapsed="false">
      <c r="A406" s="1"/>
      <c r="B406" s="1"/>
      <c r="C406" s="1" t="str">
        <f aca="false">"SHL interest rate phase "&amp;I60</f>
        <v>SHL interest rate phase 4</v>
      </c>
      <c r="D406" s="1"/>
      <c r="E406" s="1"/>
      <c r="F406" s="1"/>
      <c r="G406" s="1"/>
      <c r="H406" s="1"/>
      <c r="I406" s="1"/>
      <c r="J406" s="1"/>
      <c r="K406" s="15" t="s">
        <v>33</v>
      </c>
      <c r="L406" s="12"/>
      <c r="M406" s="89"/>
      <c r="N406" s="89"/>
      <c r="O406" s="89"/>
      <c r="P406" s="89"/>
      <c r="Q406" s="89"/>
      <c r="R406" s="89"/>
    </row>
    <row r="407" customFormat="false" ht="13.8" hidden="false" customHeight="false" outlineLevel="0" collapsed="false">
      <c r="A407" s="1"/>
      <c r="B407" s="1"/>
      <c r="C407" s="1" t="str">
        <f aca="false">"SHL interest rate phase "&amp;I61</f>
        <v>SHL interest rate phase 5</v>
      </c>
      <c r="D407" s="1"/>
      <c r="E407" s="1"/>
      <c r="F407" s="1"/>
      <c r="G407" s="1"/>
      <c r="H407" s="1"/>
      <c r="I407" s="1"/>
      <c r="J407" s="1"/>
      <c r="K407" s="15" t="s">
        <v>33</v>
      </c>
      <c r="L407" s="12"/>
      <c r="M407" s="89"/>
      <c r="N407" s="89"/>
      <c r="O407" s="89"/>
      <c r="P407" s="89"/>
      <c r="Q407" s="89"/>
      <c r="R407" s="89"/>
    </row>
    <row r="408" customFormat="false" ht="13.8" hidden="false" customHeight="false" outlineLevel="0" collapsed="false">
      <c r="A408" s="1"/>
      <c r="B408" s="1"/>
      <c r="C408" s="1" t="str">
        <f aca="false">"SHL interest rate phase "&amp;I62</f>
        <v>SHL interest rate phase 6</v>
      </c>
      <c r="D408" s="1"/>
      <c r="E408" s="1"/>
      <c r="F408" s="1"/>
      <c r="G408" s="1"/>
      <c r="H408" s="1"/>
      <c r="I408" s="1"/>
      <c r="J408" s="1"/>
      <c r="K408" s="15" t="s">
        <v>33</v>
      </c>
      <c r="L408" s="12"/>
      <c r="M408" s="89"/>
      <c r="N408" s="89"/>
      <c r="O408" s="89"/>
      <c r="P408" s="89"/>
      <c r="Q408" s="89"/>
      <c r="R408" s="89"/>
    </row>
    <row r="409" customFormat="false" ht="13.8" hidden="false" customHeight="false" outlineLevel="0" collapsed="false">
      <c r="A409" s="1"/>
      <c r="B409" s="1"/>
      <c r="C409" s="1" t="str">
        <f aca="false">"SHL interest rate phase "&amp;I63</f>
        <v>SHL interest rate phase 7</v>
      </c>
      <c r="D409" s="1"/>
      <c r="E409" s="1"/>
      <c r="F409" s="1"/>
      <c r="G409" s="1"/>
      <c r="H409" s="1"/>
      <c r="I409" s="1"/>
      <c r="J409" s="1"/>
      <c r="K409" s="15" t="s">
        <v>33</v>
      </c>
      <c r="L409" s="12"/>
      <c r="M409" s="89"/>
      <c r="N409" s="89"/>
      <c r="O409" s="89"/>
      <c r="P409" s="89"/>
      <c r="Q409" s="89"/>
      <c r="R409" s="89"/>
    </row>
    <row r="410" customFormat="false" ht="13.8" hidden="false" customHeight="false" outlineLevel="0" collapsed="false">
      <c r="A410" s="1"/>
      <c r="B410" s="1"/>
      <c r="C410" s="1" t="str">
        <f aca="false">"SHL interest rate phase "&amp;I64</f>
        <v>SHL interest rate phase 8</v>
      </c>
      <c r="D410" s="1"/>
      <c r="E410" s="1"/>
      <c r="F410" s="1"/>
      <c r="G410" s="1"/>
      <c r="H410" s="1"/>
      <c r="I410" s="1"/>
      <c r="J410" s="1"/>
      <c r="K410" s="15" t="s">
        <v>33</v>
      </c>
      <c r="L410" s="12"/>
      <c r="M410" s="89"/>
      <c r="N410" s="89"/>
      <c r="O410" s="89"/>
      <c r="P410" s="89"/>
      <c r="Q410" s="89"/>
      <c r="R410" s="89"/>
    </row>
    <row r="411" customFormat="false" ht="13.8" hidden="false" customHeight="false" outlineLevel="0" collapsed="false">
      <c r="B411" s="1"/>
      <c r="C411" s="1" t="s">
        <v>381</v>
      </c>
      <c r="D411" s="1"/>
      <c r="E411" s="1"/>
      <c r="F411" s="1"/>
      <c r="G411" s="1"/>
      <c r="H411" s="1"/>
      <c r="I411" s="1"/>
      <c r="J411" s="1"/>
      <c r="K411" s="15" t="s">
        <v>33</v>
      </c>
      <c r="L411" s="12"/>
      <c r="M411" s="18" t="n">
        <f aca="false">SUMPRODUCT(M395:M402,M403:M410)</f>
        <v>0.052</v>
      </c>
      <c r="N411" s="18" t="n">
        <f aca="false">SUMPRODUCT(N395:N402,N403:N410)</f>
        <v>0.052</v>
      </c>
      <c r="O411" s="18"/>
      <c r="P411" s="18" t="n">
        <f aca="false">SUMPRODUCT(P395:P402,P403:P410)</f>
        <v>0.052</v>
      </c>
      <c r="Q411" s="18" t="n">
        <f aca="false">SUMPRODUCT(Q395:Q402,Q403:Q410)</f>
        <v>0.052</v>
      </c>
      <c r="R411" s="18" t="n">
        <f aca="false">SUMPRODUCT(R395:R402,R403:R410)</f>
        <v>0.052</v>
      </c>
    </row>
    <row r="412" customFormat="false" ht="14.9" hidden="false" customHeight="false" outlineLevel="0" collapsed="false">
      <c r="A412" s="1"/>
      <c r="B412" s="1"/>
      <c r="C412" s="1" t="s">
        <v>382</v>
      </c>
      <c r="D412" s="1"/>
      <c r="E412" s="1"/>
      <c r="F412" s="1"/>
      <c r="G412" s="1"/>
      <c r="H412" s="1"/>
      <c r="I412" s="1"/>
      <c r="J412" s="1"/>
      <c r="K412" s="15" t="s">
        <v>109</v>
      </c>
      <c r="L412" s="12"/>
      <c r="M412" s="63" t="b">
        <f aca="false">TRUE()</f>
        <v>1</v>
      </c>
      <c r="N412" s="63" t="b">
        <f aca="false">TRUE()</f>
        <v>1</v>
      </c>
      <c r="O412" s="63"/>
      <c r="P412" s="63" t="b">
        <f aca="false">TRUE()</f>
        <v>1</v>
      </c>
      <c r="Q412" s="63" t="b">
        <f aca="false">TRUE()</f>
        <v>1</v>
      </c>
      <c r="R412" s="63" t="b">
        <f aca="false">TRUE()</f>
        <v>1</v>
      </c>
    </row>
    <row r="413" customFormat="false" ht="13.8" hidden="false" customHeight="false" outlineLevel="0" collapsed="false">
      <c r="C413" s="1" t="s">
        <v>270</v>
      </c>
      <c r="K413" s="15" t="s">
        <v>80</v>
      </c>
      <c r="L413" s="12"/>
      <c r="M413" s="94" t="s">
        <v>290</v>
      </c>
      <c r="N413" s="94" t="s">
        <v>290</v>
      </c>
      <c r="O413" s="94"/>
      <c r="P413" s="94" t="s">
        <v>290</v>
      </c>
      <c r="Q413" s="94" t="s">
        <v>290</v>
      </c>
      <c r="R413" s="94" t="s">
        <v>290</v>
      </c>
    </row>
    <row r="414" customFormat="false" ht="14.9" hidden="false" customHeight="false" outlineLevel="0" collapsed="false">
      <c r="A414" s="1"/>
      <c r="B414" s="1"/>
      <c r="C414" s="1" t="s">
        <v>383</v>
      </c>
      <c r="D414" s="1"/>
      <c r="E414" s="1"/>
      <c r="F414" s="1"/>
      <c r="G414" s="1"/>
      <c r="H414" s="1"/>
      <c r="I414" s="1"/>
      <c r="J414" s="1"/>
      <c r="K414" s="15" t="s">
        <v>109</v>
      </c>
      <c r="L414" s="12"/>
      <c r="M414" s="63" t="b">
        <f aca="false">TRUE()</f>
        <v>1</v>
      </c>
      <c r="N414" s="63" t="b">
        <f aca="false">FALSE()</f>
        <v>0</v>
      </c>
      <c r="O414" s="63"/>
      <c r="P414" s="63" t="b">
        <f aca="false">FALSE()</f>
        <v>0</v>
      </c>
      <c r="Q414" s="63" t="b">
        <f aca="false">FALSE()</f>
        <v>0</v>
      </c>
      <c r="R414" s="63" t="b">
        <f aca="false">FALSE()</f>
        <v>0</v>
      </c>
    </row>
    <row r="415" customFormat="false" ht="13.8" hidden="false" customHeight="false" outlineLevel="0" collapsed="false">
      <c r="C415" s="1" t="s">
        <v>384</v>
      </c>
      <c r="K415" s="15" t="s">
        <v>12</v>
      </c>
      <c r="L415" s="12"/>
      <c r="M415" s="106" t="n">
        <v>5</v>
      </c>
      <c r="N415" s="106"/>
      <c r="O415" s="106"/>
      <c r="P415" s="106"/>
      <c r="Q415" s="106"/>
      <c r="R415" s="106"/>
    </row>
    <row r="416" customFormat="false" ht="13.8" hidden="false" customHeight="false" outlineLevel="0" collapsed="false">
      <c r="L416" s="12"/>
    </row>
    <row r="417" customFormat="false" ht="13.8" hidden="false" customHeight="false" outlineLevel="0" collapsed="false">
      <c r="A417" s="1"/>
      <c r="B417" s="1"/>
      <c r="C417" s="1"/>
      <c r="D417" s="1"/>
      <c r="E417" s="1"/>
      <c r="F417" s="1"/>
      <c r="G417" s="1"/>
      <c r="H417" s="1"/>
      <c r="I417" s="1"/>
      <c r="J417" s="1"/>
      <c r="K417" s="1"/>
      <c r="L417" s="12"/>
      <c r="M417" s="1"/>
      <c r="N417" s="1"/>
      <c r="O417" s="1"/>
      <c r="P417" s="1"/>
      <c r="Q417" s="1"/>
      <c r="R417" s="1"/>
    </row>
    <row r="418" customFormat="false" ht="13.8" hidden="false" customHeight="false" outlineLevel="0" collapsed="false">
      <c r="A418" s="1"/>
      <c r="C418" s="6" t="s">
        <v>385</v>
      </c>
      <c r="L418" s="90"/>
    </row>
    <row r="419" customFormat="false" ht="13.8" hidden="false" customHeight="false" outlineLevel="0" collapsed="false">
      <c r="A419" s="1"/>
      <c r="C419" s="1" t="s">
        <v>386</v>
      </c>
      <c r="K419" s="15" t="s">
        <v>33</v>
      </c>
      <c r="L419" s="12"/>
      <c r="M419" s="63"/>
      <c r="N419" s="63"/>
      <c r="O419" s="63"/>
      <c r="P419" s="63"/>
      <c r="Q419" s="63"/>
      <c r="R419" s="63"/>
    </row>
    <row r="420" customFormat="false" ht="13.8" hidden="false" customHeight="false" outlineLevel="0" collapsed="false">
      <c r="C420" s="1" t="s">
        <v>270</v>
      </c>
      <c r="K420" s="15" t="s">
        <v>80</v>
      </c>
      <c r="L420" s="90"/>
      <c r="M420" s="86" t="str">
        <f aca="false">M413</f>
        <v>Exact</v>
      </c>
      <c r="N420" s="86" t="str">
        <f aca="false">N413</f>
        <v>Exact</v>
      </c>
      <c r="O420" s="86"/>
      <c r="P420" s="86" t="str">
        <f aca="false">P413</f>
        <v>Exact</v>
      </c>
      <c r="Q420" s="86" t="str">
        <f aca="false">Q413</f>
        <v>Exact</v>
      </c>
      <c r="R420" s="86" t="str">
        <f aca="false">R413</f>
        <v>Exact</v>
      </c>
    </row>
    <row r="421" customFormat="false" ht="13.8" hidden="false" customHeight="false" outlineLevel="0" collapsed="false">
      <c r="A421" s="1"/>
      <c r="L421" s="12"/>
    </row>
    <row r="422" customFormat="false" ht="13.8" hidden="false" customHeight="false" outlineLevel="0" collapsed="false">
      <c r="A422" s="1"/>
      <c r="B422" s="11" t="n">
        <v>6</v>
      </c>
      <c r="C422" s="11" t="s">
        <v>387</v>
      </c>
      <c r="D422" s="11"/>
      <c r="E422" s="11"/>
      <c r="F422" s="11"/>
      <c r="G422" s="11"/>
      <c r="H422" s="11"/>
      <c r="I422" s="11"/>
      <c r="J422" s="11"/>
      <c r="K422" s="11"/>
      <c r="L422" s="11"/>
      <c r="M422" s="11"/>
      <c r="N422" s="11"/>
      <c r="O422" s="11"/>
      <c r="P422" s="11"/>
      <c r="Q422" s="11"/>
      <c r="R422" s="11"/>
    </row>
    <row r="423" customFormat="false" ht="13.8" hidden="false" customHeight="false" outlineLevel="0" collapsed="false">
      <c r="A423" s="1"/>
      <c r="B423" s="1"/>
      <c r="C423" s="1"/>
      <c r="D423" s="1"/>
      <c r="E423" s="1"/>
      <c r="F423" s="1"/>
      <c r="G423" s="1"/>
      <c r="H423" s="1"/>
      <c r="I423" s="1"/>
      <c r="J423" s="1"/>
      <c r="K423" s="1"/>
      <c r="L423" s="12"/>
      <c r="M423" s="1"/>
      <c r="N423" s="1"/>
      <c r="O423" s="1"/>
      <c r="P423" s="1"/>
      <c r="Q423" s="1"/>
      <c r="R423" s="1"/>
    </row>
    <row r="424" customFormat="false" ht="13.8" hidden="false" customHeight="false" outlineLevel="0" collapsed="false">
      <c r="A424" s="1"/>
      <c r="B424" s="1"/>
      <c r="C424" s="1" t="s">
        <v>388</v>
      </c>
      <c r="D424" s="1"/>
      <c r="E424" s="1"/>
      <c r="F424" s="1"/>
      <c r="G424" s="1"/>
      <c r="H424" s="1"/>
      <c r="I424" s="1"/>
      <c r="J424" s="1"/>
      <c r="K424" s="15" t="s">
        <v>389</v>
      </c>
      <c r="L424" s="12"/>
      <c r="M424" s="64" t="n">
        <v>30</v>
      </c>
      <c r="N424" s="64" t="n">
        <v>30</v>
      </c>
      <c r="O424" s="64"/>
      <c r="P424" s="64" t="n">
        <v>30</v>
      </c>
      <c r="Q424" s="64" t="n">
        <v>30</v>
      </c>
      <c r="R424" s="64" t="n">
        <v>30</v>
      </c>
    </row>
    <row r="425" customFormat="false" ht="13.8" hidden="false" customHeight="false" outlineLevel="0" collapsed="false">
      <c r="A425" s="1"/>
      <c r="B425" s="1"/>
      <c r="C425" s="1" t="s">
        <v>390</v>
      </c>
      <c r="D425" s="1"/>
      <c r="E425" s="1"/>
      <c r="F425" s="1"/>
      <c r="G425" s="1"/>
      <c r="H425" s="1"/>
      <c r="I425" s="1"/>
      <c r="J425" s="1"/>
      <c r="K425" s="15" t="s">
        <v>389</v>
      </c>
      <c r="L425" s="12"/>
      <c r="M425" s="64" t="n">
        <v>30</v>
      </c>
      <c r="N425" s="64" t="n">
        <v>30</v>
      </c>
      <c r="O425" s="64"/>
      <c r="P425" s="64" t="n">
        <v>30</v>
      </c>
      <c r="Q425" s="64" t="n">
        <v>30</v>
      </c>
      <c r="R425" s="64" t="n">
        <v>30</v>
      </c>
    </row>
    <row r="426" customFormat="false" ht="13.8" hidden="false" customHeight="false" outlineLevel="0" collapsed="false">
      <c r="A426" s="1"/>
      <c r="B426" s="1"/>
      <c r="C426" s="1"/>
      <c r="D426" s="1"/>
      <c r="E426" s="1"/>
      <c r="F426" s="1"/>
      <c r="G426" s="1"/>
      <c r="H426" s="1"/>
      <c r="I426" s="1"/>
      <c r="J426" s="1"/>
      <c r="K426" s="1"/>
      <c r="L426" s="12"/>
      <c r="M426" s="1"/>
      <c r="N426" s="1"/>
      <c r="O426" s="1"/>
      <c r="P426" s="1"/>
      <c r="Q426" s="1"/>
      <c r="R426" s="1"/>
    </row>
    <row r="427" customFormat="false" ht="13.8" hidden="false" customHeight="false" outlineLevel="0" collapsed="false">
      <c r="A427" s="1"/>
      <c r="B427" s="11" t="n">
        <v>7</v>
      </c>
      <c r="C427" s="11" t="s">
        <v>391</v>
      </c>
      <c r="D427" s="11"/>
      <c r="E427" s="11"/>
      <c r="F427" s="11"/>
      <c r="G427" s="11"/>
      <c r="H427" s="11"/>
      <c r="I427" s="11"/>
      <c r="J427" s="11"/>
      <c r="K427" s="11"/>
      <c r="L427" s="11"/>
      <c r="M427" s="11"/>
      <c r="N427" s="11"/>
      <c r="O427" s="11"/>
      <c r="P427" s="11"/>
      <c r="Q427" s="11"/>
      <c r="R427" s="11"/>
    </row>
    <row r="428" customFormat="false" ht="13.8" hidden="false" customHeight="false" outlineLevel="0" collapsed="false">
      <c r="A428" s="1"/>
      <c r="B428" s="1"/>
      <c r="C428" s="1"/>
      <c r="D428" s="1"/>
      <c r="E428" s="1"/>
      <c r="F428" s="1"/>
      <c r="G428" s="1"/>
      <c r="H428" s="1"/>
      <c r="I428" s="1"/>
      <c r="J428" s="1"/>
      <c r="K428" s="1"/>
      <c r="L428" s="12"/>
      <c r="M428" s="1"/>
      <c r="N428" s="1"/>
      <c r="O428" s="1"/>
      <c r="P428" s="1"/>
      <c r="Q428" s="1"/>
      <c r="R428" s="1"/>
    </row>
    <row r="429" customFormat="false" ht="13.8" hidden="false" customHeight="false" outlineLevel="0" collapsed="false">
      <c r="A429" s="1"/>
      <c r="B429" s="1"/>
      <c r="C429" s="1" t="s">
        <v>392</v>
      </c>
      <c r="D429" s="1"/>
      <c r="E429" s="1"/>
      <c r="F429" s="1"/>
      <c r="G429" s="1"/>
      <c r="H429" s="1"/>
      <c r="I429" s="1"/>
      <c r="J429" s="1"/>
      <c r="K429" s="15" t="s">
        <v>12</v>
      </c>
      <c r="L429" s="12"/>
      <c r="M429" s="67"/>
      <c r="N429" s="67"/>
      <c r="O429" s="67"/>
      <c r="P429" s="67"/>
      <c r="Q429" s="67"/>
      <c r="R429" s="67"/>
    </row>
    <row r="430" customFormat="false" ht="13.8" hidden="false" customHeight="false" outlineLevel="0" collapsed="false">
      <c r="A430" s="1"/>
      <c r="B430" s="1"/>
      <c r="C430" s="1" t="s">
        <v>374</v>
      </c>
      <c r="D430" s="1"/>
      <c r="E430" s="1"/>
      <c r="F430" s="1"/>
      <c r="G430" s="1"/>
      <c r="H430" s="1"/>
      <c r="I430" s="1"/>
      <c r="J430" s="1"/>
      <c r="K430" s="15" t="s">
        <v>25</v>
      </c>
      <c r="L430" s="12"/>
      <c r="M430" s="85"/>
      <c r="N430" s="85"/>
      <c r="O430" s="85"/>
      <c r="P430" s="85"/>
      <c r="Q430" s="85"/>
      <c r="R430" s="85"/>
    </row>
    <row r="431" customFormat="false" ht="13.8" hidden="false" customHeight="false" outlineLevel="0" collapsed="false">
      <c r="A431" s="1"/>
      <c r="B431" s="1"/>
      <c r="C431" s="1"/>
      <c r="D431" s="1"/>
      <c r="E431" s="1"/>
      <c r="F431" s="1"/>
      <c r="G431" s="1"/>
      <c r="H431" s="1"/>
      <c r="I431" s="1"/>
      <c r="J431" s="1"/>
      <c r="K431" s="1"/>
      <c r="L431" s="12"/>
      <c r="M431" s="1"/>
      <c r="N431" s="1"/>
      <c r="O431" s="1"/>
      <c r="P431" s="1"/>
      <c r="Q431" s="1"/>
      <c r="R431" s="1"/>
    </row>
    <row r="432" customFormat="false" ht="13.8" hidden="false" customHeight="false" outlineLevel="0" collapsed="false">
      <c r="A432" s="1"/>
      <c r="B432" s="11" t="n">
        <f aca="false">B427+1</f>
        <v>8</v>
      </c>
      <c r="C432" s="11" t="s">
        <v>86</v>
      </c>
      <c r="D432" s="11"/>
      <c r="E432" s="11"/>
      <c r="F432" s="11"/>
      <c r="G432" s="11"/>
      <c r="H432" s="11"/>
      <c r="I432" s="11"/>
      <c r="J432" s="11"/>
      <c r="K432" s="11"/>
      <c r="L432" s="11"/>
      <c r="M432" s="11"/>
      <c r="N432" s="11"/>
      <c r="O432" s="11"/>
      <c r="P432" s="11"/>
      <c r="Q432" s="11"/>
      <c r="R432" s="11"/>
    </row>
    <row r="433" customFormat="false" ht="13.8" hidden="false" customHeight="false" outlineLevel="0" collapsed="false">
      <c r="A433" s="1"/>
      <c r="B433" s="1"/>
      <c r="C433" s="1"/>
      <c r="D433" s="1"/>
      <c r="E433" s="1"/>
      <c r="F433" s="1"/>
      <c r="G433" s="1"/>
      <c r="H433" s="1"/>
      <c r="I433" s="1"/>
      <c r="J433" s="1"/>
      <c r="K433" s="1"/>
      <c r="L433" s="12"/>
      <c r="M433" s="1"/>
      <c r="N433" s="1"/>
      <c r="O433" s="1"/>
      <c r="P433" s="1"/>
      <c r="Q433" s="1"/>
      <c r="R433" s="1"/>
    </row>
    <row r="434" customFormat="false" ht="13.8" hidden="false" customHeight="false" outlineLevel="0" collapsed="false">
      <c r="A434" s="40" t="s">
        <v>393</v>
      </c>
      <c r="B434" s="1"/>
      <c r="C434" s="1" t="s">
        <v>394</v>
      </c>
      <c r="D434" s="1"/>
      <c r="E434" s="1"/>
      <c r="F434" s="1"/>
      <c r="G434" s="1"/>
      <c r="H434" s="1"/>
      <c r="I434" s="1"/>
      <c r="J434" s="1"/>
      <c r="K434" s="15" t="s">
        <v>284</v>
      </c>
      <c r="L434" s="12"/>
      <c r="M434" s="106" t="n">
        <v>1</v>
      </c>
      <c r="N434" s="106" t="n">
        <v>2</v>
      </c>
      <c r="O434" s="112" t="n">
        <v>0</v>
      </c>
      <c r="P434" s="106" t="n">
        <v>4</v>
      </c>
      <c r="Q434" s="106" t="n">
        <v>5</v>
      </c>
      <c r="R434" s="106" t="n">
        <v>6</v>
      </c>
    </row>
    <row r="435" customFormat="false" ht="13.8" hidden="false" customHeight="false" outlineLevel="0" collapsed="false">
      <c r="A435" s="40" t="s">
        <v>395</v>
      </c>
      <c r="B435" s="1"/>
      <c r="C435" s="1" t="s">
        <v>396</v>
      </c>
      <c r="D435" s="1"/>
      <c r="E435" s="1"/>
      <c r="F435" s="1"/>
      <c r="G435" s="1"/>
      <c r="H435" s="1"/>
      <c r="I435" s="1"/>
      <c r="J435" s="1"/>
      <c r="K435" s="15" t="s">
        <v>25</v>
      </c>
      <c r="L435" s="12"/>
      <c r="M435" s="85" t="n">
        <v>45778</v>
      </c>
      <c r="N435" s="85" t="n">
        <v>45778</v>
      </c>
      <c r="O435" s="85" t="n">
        <v>45778</v>
      </c>
      <c r="P435" s="85" t="n">
        <v>47604</v>
      </c>
      <c r="Q435" s="85" t="n">
        <v>47604</v>
      </c>
      <c r="R435" s="85" t="n">
        <v>47604</v>
      </c>
    </row>
    <row r="436" customFormat="false" ht="13.8" hidden="false" customHeight="false" outlineLevel="0" collapsed="false">
      <c r="A436" s="40" t="s">
        <v>397</v>
      </c>
      <c r="B436" s="1"/>
      <c r="C436" s="1" t="s">
        <v>398</v>
      </c>
      <c r="D436" s="1"/>
      <c r="E436" s="1"/>
      <c r="F436" s="1"/>
      <c r="G436" s="1"/>
      <c r="H436" s="1"/>
      <c r="I436" s="1"/>
      <c r="J436" s="1"/>
      <c r="K436" s="15" t="s">
        <v>25</v>
      </c>
      <c r="L436" s="12"/>
      <c r="M436" s="85" t="n">
        <v>59535</v>
      </c>
      <c r="N436" s="85" t="n">
        <v>59535</v>
      </c>
      <c r="O436" s="85" t="n">
        <v>59535</v>
      </c>
      <c r="P436" s="26" t="n">
        <v>55840</v>
      </c>
      <c r="Q436" s="26" t="n">
        <v>55840</v>
      </c>
      <c r="R436" s="26" t="n">
        <v>55840</v>
      </c>
    </row>
    <row r="437" customFormat="false" ht="13.8" hidden="false" customHeight="false" outlineLevel="0" collapsed="false">
      <c r="A437" s="40" t="s">
        <v>399</v>
      </c>
      <c r="B437" s="1"/>
      <c r="C437" s="1" t="s">
        <v>205</v>
      </c>
      <c r="D437" s="1"/>
      <c r="E437" s="1"/>
      <c r="F437" s="1"/>
      <c r="G437" s="1"/>
      <c r="H437" s="1"/>
      <c r="I437" s="1"/>
      <c r="J437" s="1"/>
      <c r="K437" s="15" t="s">
        <v>80</v>
      </c>
      <c r="L437" s="12"/>
      <c r="M437" s="26" t="s">
        <v>400</v>
      </c>
      <c r="N437" s="26" t="s">
        <v>400</v>
      </c>
      <c r="O437" s="26" t="s">
        <v>401</v>
      </c>
      <c r="P437" s="26" t="s">
        <v>400</v>
      </c>
      <c r="Q437" s="26" t="s">
        <v>206</v>
      </c>
      <c r="R437" s="26" t="s">
        <v>400</v>
      </c>
    </row>
    <row r="438" customFormat="false" ht="13.8" hidden="false" customHeight="false" outlineLevel="0" collapsed="false">
      <c r="A438" s="1"/>
      <c r="B438" s="1"/>
      <c r="C438" s="1"/>
      <c r="D438" s="1"/>
      <c r="E438" s="1"/>
      <c r="F438" s="1"/>
      <c r="G438" s="1"/>
      <c r="H438" s="1"/>
      <c r="I438" s="1"/>
      <c r="J438" s="1"/>
      <c r="K438" s="1"/>
      <c r="L438" s="12"/>
      <c r="M438" s="1"/>
      <c r="N438" s="1"/>
      <c r="O438" s="1"/>
      <c r="P438" s="1"/>
      <c r="Q438" s="1"/>
      <c r="R438" s="1"/>
    </row>
    <row r="439" customFormat="false" ht="13.8" hidden="false" customHeight="false" outlineLevel="0" collapsed="false">
      <c r="A439" s="1"/>
      <c r="B439" s="11" t="n">
        <f aca="false">B432+1</f>
        <v>9</v>
      </c>
      <c r="C439" s="11" t="s">
        <v>402</v>
      </c>
      <c r="D439" s="11"/>
      <c r="E439" s="11"/>
      <c r="F439" s="11"/>
      <c r="G439" s="11"/>
      <c r="H439" s="11"/>
      <c r="I439" s="11"/>
      <c r="J439" s="11"/>
      <c r="K439" s="11"/>
      <c r="L439" s="11"/>
      <c r="M439" s="11"/>
      <c r="N439" s="11"/>
      <c r="O439" s="11"/>
      <c r="P439" s="11"/>
      <c r="Q439" s="11"/>
      <c r="R439" s="11"/>
    </row>
    <row r="440" customFormat="false" ht="13.8" hidden="false" customHeight="false" outlineLevel="0" collapsed="false">
      <c r="A440" s="1"/>
      <c r="B440" s="1"/>
      <c r="C440" s="1"/>
      <c r="D440" s="1"/>
      <c r="E440" s="1"/>
      <c r="F440" s="1"/>
      <c r="G440" s="1"/>
      <c r="H440" s="1"/>
      <c r="I440" s="1"/>
      <c r="J440" s="1"/>
      <c r="K440" s="1"/>
      <c r="L440" s="12"/>
      <c r="M440" s="1"/>
      <c r="N440" s="1"/>
      <c r="O440" s="1"/>
      <c r="P440" s="1"/>
      <c r="Q440" s="1"/>
      <c r="R440" s="1"/>
    </row>
    <row r="441" customFormat="false" ht="13.8" hidden="false" customHeight="false" outlineLevel="0" collapsed="false">
      <c r="A441" s="1"/>
      <c r="B441" s="1"/>
      <c r="C441" s="6" t="s">
        <v>402</v>
      </c>
      <c r="D441" s="1"/>
      <c r="E441" s="1"/>
      <c r="F441" s="1"/>
      <c r="G441" s="1"/>
      <c r="H441" s="1"/>
      <c r="I441" s="1"/>
      <c r="J441" s="1"/>
      <c r="K441" s="1"/>
      <c r="L441" s="12"/>
      <c r="M441" s="1"/>
      <c r="N441" s="1"/>
      <c r="O441" s="1"/>
      <c r="P441" s="1"/>
      <c r="Q441" s="1"/>
      <c r="R441" s="1"/>
    </row>
    <row r="442" customFormat="false" ht="14.9" hidden="false" customHeight="false" outlineLevel="0" collapsed="false">
      <c r="C442" s="5" t="s">
        <v>403</v>
      </c>
      <c r="K442" s="15" t="s">
        <v>109</v>
      </c>
      <c r="L442" s="12"/>
      <c r="M442" s="63"/>
      <c r="N442" s="63" t="b">
        <f aca="false">FALSE()</f>
        <v>0</v>
      </c>
      <c r="O442" s="63"/>
      <c r="P442" s="63" t="b">
        <f aca="false">FALSE()</f>
        <v>0</v>
      </c>
      <c r="Q442" s="63" t="b">
        <f aca="false">FALSE()</f>
        <v>0</v>
      </c>
      <c r="R442" s="63" t="b">
        <f aca="false">FALSE()</f>
        <v>0</v>
      </c>
    </row>
    <row r="443" customFormat="false" ht="13.8" hidden="false" customHeight="false" outlineLevel="0" collapsed="false">
      <c r="L443" s="12"/>
    </row>
    <row r="444" customFormat="false" ht="13.8" hidden="false" customHeight="false" outlineLevel="0" collapsed="false">
      <c r="C444" s="14" t="s">
        <v>404</v>
      </c>
      <c r="L444" s="12"/>
    </row>
    <row r="445" customFormat="false" ht="13.8" hidden="false" customHeight="false" outlineLevel="0" collapsed="false">
      <c r="A445" s="1"/>
      <c r="B445" s="1"/>
      <c r="C445" s="1" t="s">
        <v>405</v>
      </c>
      <c r="D445" s="1"/>
      <c r="E445" s="1"/>
      <c r="F445" s="1"/>
      <c r="G445" s="1"/>
      <c r="H445" s="61" t="n">
        <v>1</v>
      </c>
      <c r="I445" s="1"/>
      <c r="J445" s="1"/>
      <c r="K445" s="15" t="s">
        <v>33</v>
      </c>
      <c r="L445" s="12"/>
      <c r="M445" s="89"/>
      <c r="N445" s="89" t="n">
        <v>0.034</v>
      </c>
      <c r="O445" s="89"/>
      <c r="P445" s="89" t="n">
        <v>0.034</v>
      </c>
      <c r="Q445" s="89" t="n">
        <v>0.034</v>
      </c>
      <c r="R445" s="89" t="n">
        <v>0.034</v>
      </c>
    </row>
    <row r="446" customFormat="false" ht="13.8" hidden="false" customHeight="false" outlineLevel="0" collapsed="false">
      <c r="A446" s="1"/>
      <c r="B446" s="1"/>
      <c r="C446" s="1" t="s">
        <v>406</v>
      </c>
      <c r="D446" s="1"/>
      <c r="E446" s="1"/>
      <c r="F446" s="1"/>
      <c r="G446" s="1"/>
      <c r="H446" s="61" t="n">
        <v>1</v>
      </c>
      <c r="I446" s="1"/>
      <c r="J446" s="1"/>
      <c r="K446" s="15" t="s">
        <v>33</v>
      </c>
      <c r="L446" s="12"/>
      <c r="M446" s="89"/>
      <c r="N446" s="89" t="n">
        <v>0.05</v>
      </c>
      <c r="O446" s="89"/>
      <c r="P446" s="89" t="n">
        <v>0.05</v>
      </c>
      <c r="Q446" s="89" t="n">
        <v>0.05</v>
      </c>
      <c r="R446" s="89" t="n">
        <v>0.05</v>
      </c>
    </row>
    <row r="447" customFormat="false" ht="13.8" hidden="false" customHeight="false" outlineLevel="0" collapsed="false">
      <c r="A447" s="1"/>
      <c r="B447" s="1"/>
      <c r="C447" s="1" t="s">
        <v>407</v>
      </c>
      <c r="D447" s="1"/>
      <c r="E447" s="1"/>
      <c r="F447" s="1"/>
      <c r="G447" s="1"/>
      <c r="H447" s="61" t="n">
        <v>1</v>
      </c>
      <c r="I447" s="1"/>
      <c r="J447" s="1"/>
      <c r="K447" s="15" t="s">
        <v>33</v>
      </c>
      <c r="L447" s="12"/>
      <c r="M447" s="89"/>
      <c r="N447" s="89" t="n">
        <v>0.06</v>
      </c>
      <c r="O447" s="89"/>
      <c r="P447" s="89" t="n">
        <v>0.06</v>
      </c>
      <c r="Q447" s="89" t="n">
        <v>0.06</v>
      </c>
      <c r="R447" s="89" t="n">
        <v>0.06</v>
      </c>
    </row>
    <row r="448" customFormat="false" ht="13.8" hidden="false" customHeight="false" outlineLevel="0" collapsed="false">
      <c r="A448" s="1"/>
      <c r="B448" s="1"/>
      <c r="C448" s="1" t="s">
        <v>408</v>
      </c>
      <c r="D448" s="1"/>
      <c r="E448" s="1"/>
      <c r="F448" s="1"/>
      <c r="G448" s="1"/>
      <c r="H448" s="61" t="n">
        <v>2</v>
      </c>
      <c r="I448" s="1"/>
      <c r="J448" s="1"/>
      <c r="K448" s="15" t="s">
        <v>33</v>
      </c>
      <c r="L448" s="12"/>
      <c r="M448" s="89"/>
      <c r="N448" s="89" t="n">
        <v>0.088</v>
      </c>
      <c r="O448" s="89"/>
      <c r="P448" s="89" t="n">
        <v>0.088</v>
      </c>
      <c r="Q448" s="89" t="n">
        <v>0.088</v>
      </c>
      <c r="R448" s="89" t="n">
        <v>0.088</v>
      </c>
    </row>
    <row r="449" customFormat="false" ht="13.8" hidden="false" customHeight="false" outlineLevel="0" collapsed="false">
      <c r="A449" s="1"/>
      <c r="B449" s="1"/>
      <c r="C449" s="1" t="s">
        <v>409</v>
      </c>
      <c r="D449" s="1"/>
      <c r="E449" s="1"/>
      <c r="F449" s="1"/>
      <c r="G449" s="1"/>
      <c r="H449" s="61" t="n">
        <v>2</v>
      </c>
      <c r="I449" s="1"/>
      <c r="J449" s="1"/>
      <c r="K449" s="15" t="s">
        <v>33</v>
      </c>
      <c r="L449" s="12"/>
      <c r="M449" s="89"/>
      <c r="N449" s="89" t="n">
        <v>0.107</v>
      </c>
      <c r="O449" s="89"/>
      <c r="P449" s="89" t="n">
        <v>0.107</v>
      </c>
      <c r="Q449" s="89" t="n">
        <v>0.107</v>
      </c>
      <c r="R449" s="89" t="n">
        <v>0.107</v>
      </c>
    </row>
    <row r="450" customFormat="false" ht="13.8" hidden="false" customHeight="false" outlineLevel="0" collapsed="false">
      <c r="A450" s="1"/>
      <c r="B450" s="1"/>
      <c r="C450" s="1" t="s">
        <v>410</v>
      </c>
      <c r="D450" s="1"/>
      <c r="E450" s="1"/>
      <c r="F450" s="1"/>
      <c r="G450" s="1"/>
      <c r="H450" s="61" t="n">
        <v>2</v>
      </c>
      <c r="I450" s="1"/>
      <c r="J450" s="1"/>
      <c r="K450" s="15" t="s">
        <v>33</v>
      </c>
      <c r="L450" s="12"/>
      <c r="M450" s="89"/>
      <c r="N450" s="89" t="n">
        <v>0.114</v>
      </c>
      <c r="O450" s="89"/>
      <c r="P450" s="89" t="n">
        <v>0.114</v>
      </c>
      <c r="Q450" s="89" t="n">
        <v>0.114</v>
      </c>
      <c r="R450" s="89" t="n">
        <v>0.114</v>
      </c>
    </row>
    <row r="451" customFormat="false" ht="13.8" hidden="false" customHeight="false" outlineLevel="0" collapsed="false">
      <c r="A451" s="1"/>
      <c r="B451" s="1"/>
      <c r="C451" s="1" t="s">
        <v>411</v>
      </c>
      <c r="D451" s="1"/>
      <c r="E451" s="1"/>
      <c r="F451" s="1"/>
      <c r="G451" s="1"/>
      <c r="H451" s="61" t="n">
        <v>3</v>
      </c>
      <c r="I451" s="1"/>
      <c r="J451" s="1"/>
      <c r="K451" s="15" t="s">
        <v>33</v>
      </c>
      <c r="L451" s="12"/>
      <c r="M451" s="89"/>
      <c r="N451" s="89" t="n">
        <v>0.115</v>
      </c>
      <c r="O451" s="89"/>
      <c r="P451" s="89" t="n">
        <v>0.115</v>
      </c>
      <c r="Q451" s="89" t="n">
        <v>0.115</v>
      </c>
      <c r="R451" s="89" t="n">
        <v>0.115</v>
      </c>
    </row>
    <row r="452" customFormat="false" ht="13.8" hidden="false" customHeight="false" outlineLevel="0" collapsed="false">
      <c r="A452" s="1"/>
      <c r="B452" s="1"/>
      <c r="C452" s="1" t="s">
        <v>412</v>
      </c>
      <c r="D452" s="1"/>
      <c r="E452" s="1"/>
      <c r="F452" s="1"/>
      <c r="G452" s="1"/>
      <c r="H452" s="61" t="n">
        <v>3</v>
      </c>
      <c r="I452" s="1"/>
      <c r="J452" s="1"/>
      <c r="K452" s="15" t="s">
        <v>33</v>
      </c>
      <c r="L452" s="12"/>
      <c r="M452" s="89"/>
      <c r="N452" s="89" t="n">
        <v>0.113</v>
      </c>
      <c r="O452" s="89"/>
      <c r="P452" s="89" t="n">
        <v>0.113</v>
      </c>
      <c r="Q452" s="89" t="n">
        <v>0.113</v>
      </c>
      <c r="R452" s="89" t="n">
        <v>0.113</v>
      </c>
    </row>
    <row r="453" customFormat="false" ht="13.8" hidden="false" customHeight="false" outlineLevel="0" collapsed="false">
      <c r="A453" s="1"/>
      <c r="B453" s="1"/>
      <c r="C453" s="1" t="s">
        <v>413</v>
      </c>
      <c r="D453" s="1"/>
      <c r="E453" s="1"/>
      <c r="F453" s="1"/>
      <c r="G453" s="1"/>
      <c r="H453" s="61" t="n">
        <v>3</v>
      </c>
      <c r="I453" s="1"/>
      <c r="J453" s="1"/>
      <c r="K453" s="15" t="s">
        <v>33</v>
      </c>
      <c r="L453" s="12"/>
      <c r="M453" s="89"/>
      <c r="N453" s="89" t="n">
        <v>0.122</v>
      </c>
      <c r="O453" s="89"/>
      <c r="P453" s="89" t="n">
        <v>0.122</v>
      </c>
      <c r="Q453" s="89" t="n">
        <v>0.122</v>
      </c>
      <c r="R453" s="89" t="n">
        <v>0.122</v>
      </c>
    </row>
    <row r="454" customFormat="false" ht="13.8" hidden="false" customHeight="false" outlineLevel="0" collapsed="false">
      <c r="A454" s="1"/>
      <c r="B454" s="1"/>
      <c r="C454" s="1" t="s">
        <v>414</v>
      </c>
      <c r="D454" s="1"/>
      <c r="E454" s="1"/>
      <c r="F454" s="1"/>
      <c r="G454" s="1"/>
      <c r="H454" s="61" t="n">
        <v>4</v>
      </c>
      <c r="I454" s="1"/>
      <c r="J454" s="1"/>
      <c r="K454" s="15" t="s">
        <v>33</v>
      </c>
      <c r="L454" s="12"/>
      <c r="M454" s="89"/>
      <c r="N454" s="89" t="n">
        <v>0.097</v>
      </c>
      <c r="O454" s="89"/>
      <c r="P454" s="89" t="n">
        <v>0.097</v>
      </c>
      <c r="Q454" s="89" t="n">
        <v>0.097</v>
      </c>
      <c r="R454" s="89" t="n">
        <v>0.097</v>
      </c>
    </row>
    <row r="455" customFormat="false" ht="13.8" hidden="false" customHeight="false" outlineLevel="0" collapsed="false">
      <c r="A455" s="1"/>
      <c r="B455" s="1"/>
      <c r="C455" s="1" t="s">
        <v>415</v>
      </c>
      <c r="D455" s="1"/>
      <c r="E455" s="1"/>
      <c r="F455" s="1"/>
      <c r="G455" s="1"/>
      <c r="H455" s="61" t="n">
        <v>4</v>
      </c>
      <c r="I455" s="1"/>
      <c r="J455" s="1"/>
      <c r="K455" s="15" t="s">
        <v>33</v>
      </c>
      <c r="L455" s="12"/>
      <c r="M455" s="89"/>
      <c r="N455" s="89" t="n">
        <v>0.066</v>
      </c>
      <c r="O455" s="89"/>
      <c r="P455" s="89" t="n">
        <v>0.066</v>
      </c>
      <c r="Q455" s="89" t="n">
        <v>0.066</v>
      </c>
      <c r="R455" s="89" t="n">
        <v>0.066</v>
      </c>
    </row>
    <row r="456" customFormat="false" ht="13.8" hidden="false" customHeight="false" outlineLevel="0" collapsed="false">
      <c r="A456" s="1"/>
      <c r="B456" s="1"/>
      <c r="C456" s="1" t="s">
        <v>416</v>
      </c>
      <c r="D456" s="1"/>
      <c r="E456" s="1"/>
      <c r="F456" s="1"/>
      <c r="G456" s="1"/>
      <c r="H456" s="61" t="n">
        <v>4</v>
      </c>
      <c r="I456" s="1"/>
      <c r="J456" s="1"/>
      <c r="K456" s="15" t="s">
        <v>33</v>
      </c>
      <c r="L456" s="12"/>
      <c r="M456" s="89"/>
      <c r="N456" s="89" t="n">
        <v>0.034</v>
      </c>
      <c r="O456" s="89"/>
      <c r="P456" s="89" t="n">
        <v>0.034</v>
      </c>
      <c r="Q456" s="89" t="n">
        <v>0.034</v>
      </c>
      <c r="R456" s="89" t="n">
        <v>0.034</v>
      </c>
    </row>
    <row r="457" customFormat="false" ht="13.8" hidden="false" customHeight="false" outlineLevel="0" collapsed="false">
      <c r="A457" s="1"/>
      <c r="B457" s="1"/>
      <c r="C457" s="1"/>
      <c r="D457" s="1"/>
      <c r="E457" s="1"/>
      <c r="F457" s="1"/>
      <c r="G457" s="1"/>
      <c r="H457" s="1"/>
      <c r="I457" s="1"/>
      <c r="J457" s="1"/>
      <c r="K457" s="1"/>
      <c r="L457" s="12"/>
      <c r="M457" s="1"/>
      <c r="N457" s="1"/>
      <c r="O457" s="1"/>
      <c r="P457" s="1"/>
      <c r="Q457" s="1"/>
      <c r="R457" s="1"/>
    </row>
    <row r="458" customFormat="false" ht="13.8" hidden="false" customHeight="false" outlineLevel="0" collapsed="false">
      <c r="A458" s="1"/>
      <c r="B458" s="1"/>
      <c r="C458" s="14" t="s">
        <v>417</v>
      </c>
      <c r="D458" s="1"/>
      <c r="E458" s="1"/>
      <c r="F458" s="1"/>
      <c r="G458" s="1"/>
      <c r="H458" s="1"/>
      <c r="I458" s="1"/>
      <c r="J458" s="1"/>
      <c r="K458" s="1"/>
      <c r="L458" s="12"/>
      <c r="M458" s="1"/>
      <c r="N458" s="1"/>
      <c r="O458" s="1"/>
      <c r="P458" s="1"/>
      <c r="Q458" s="1"/>
      <c r="R458" s="1"/>
    </row>
    <row r="459" customFormat="false" ht="13.8" hidden="false" customHeight="false" outlineLevel="0" collapsed="false">
      <c r="A459" s="1"/>
      <c r="B459" s="1"/>
      <c r="C459" s="1" t="s">
        <v>418</v>
      </c>
      <c r="D459" s="1"/>
      <c r="E459" s="1"/>
      <c r="F459" s="1"/>
      <c r="G459" s="1"/>
      <c r="H459" s="61" t="n">
        <v>1</v>
      </c>
      <c r="I459" s="1"/>
      <c r="J459" s="1"/>
      <c r="K459" s="15" t="s">
        <v>33</v>
      </c>
      <c r="L459" s="12"/>
      <c r="M459" s="29" t="n">
        <f aca="false">SUMIFS(M$445:M$456,$H$445:$H$456,$H459)</f>
        <v>0</v>
      </c>
      <c r="N459" s="29" t="n">
        <f aca="false">SUMIFS(N$445:N$456,$H$445:$H$456,$H459)</f>
        <v>0.144</v>
      </c>
      <c r="O459" s="29"/>
      <c r="P459" s="29" t="n">
        <f aca="false">SUMIFS(P$445:P$456,$H$445:$H$456,$H459)</f>
        <v>0.144</v>
      </c>
      <c r="Q459" s="29" t="n">
        <f aca="false">SUMIFS(Q$445:Q$456,$H$445:$H$456,$H459)</f>
        <v>0.144</v>
      </c>
      <c r="R459" s="29" t="n">
        <f aca="false">SUMIFS(R$445:R$456,$H$445:$H$456,$H459)</f>
        <v>0.144</v>
      </c>
    </row>
    <row r="460" customFormat="false" ht="13.8" hidden="false" customHeight="false" outlineLevel="0" collapsed="false">
      <c r="A460" s="1"/>
      <c r="B460" s="1"/>
      <c r="C460" s="1" t="s">
        <v>419</v>
      </c>
      <c r="D460" s="1"/>
      <c r="E460" s="1"/>
      <c r="F460" s="1"/>
      <c r="G460" s="1"/>
      <c r="H460" s="61" t="n">
        <v>2</v>
      </c>
      <c r="I460" s="1"/>
      <c r="J460" s="1"/>
      <c r="K460" s="15" t="s">
        <v>33</v>
      </c>
      <c r="L460" s="12"/>
      <c r="M460" s="29" t="n">
        <f aca="false">SUMIFS(M$445:M$456,$H$445:$H$456,$H460)</f>
        <v>0</v>
      </c>
      <c r="N460" s="29" t="n">
        <f aca="false">SUMIFS(N$445:N$456,$H$445:$H$456,$H460)</f>
        <v>0.309</v>
      </c>
      <c r="O460" s="29"/>
      <c r="P460" s="29" t="n">
        <f aca="false">SUMIFS(P$445:P$456,$H$445:$H$456,$H460)</f>
        <v>0.309</v>
      </c>
      <c r="Q460" s="29" t="n">
        <f aca="false">SUMIFS(Q$445:Q$456,$H$445:$H$456,$H460)</f>
        <v>0.309</v>
      </c>
      <c r="R460" s="29" t="n">
        <f aca="false">SUMIFS(R$445:R$456,$H$445:$H$456,$H460)</f>
        <v>0.309</v>
      </c>
    </row>
    <row r="461" customFormat="false" ht="13.8" hidden="false" customHeight="false" outlineLevel="0" collapsed="false">
      <c r="A461" s="1"/>
      <c r="B461" s="1"/>
      <c r="C461" s="1" t="s">
        <v>420</v>
      </c>
      <c r="D461" s="1"/>
      <c r="E461" s="1"/>
      <c r="F461" s="1"/>
      <c r="G461" s="1"/>
      <c r="H461" s="61" t="n">
        <v>3</v>
      </c>
      <c r="I461" s="1"/>
      <c r="J461" s="1"/>
      <c r="K461" s="15" t="s">
        <v>33</v>
      </c>
      <c r="L461" s="12"/>
      <c r="M461" s="29" t="n">
        <f aca="false">SUMIFS(M$445:M$456,$H$445:$H$456,$H461)</f>
        <v>0</v>
      </c>
      <c r="N461" s="29" t="n">
        <f aca="false">SUMIFS(N$445:N$456,$H$445:$H$456,$H461)</f>
        <v>0.35</v>
      </c>
      <c r="O461" s="29"/>
      <c r="P461" s="29" t="n">
        <f aca="false">SUMIFS(P$445:P$456,$H$445:$H$456,$H461)</f>
        <v>0.35</v>
      </c>
      <c r="Q461" s="29" t="n">
        <f aca="false">SUMIFS(Q$445:Q$456,$H$445:$H$456,$H461)</f>
        <v>0.35</v>
      </c>
      <c r="R461" s="29" t="n">
        <f aca="false">SUMIFS(R$445:R$456,$H$445:$H$456,$H461)</f>
        <v>0.35</v>
      </c>
    </row>
    <row r="462" customFormat="false" ht="13.8" hidden="false" customHeight="false" outlineLevel="0" collapsed="false">
      <c r="A462" s="1"/>
      <c r="B462" s="1"/>
      <c r="C462" s="1" t="s">
        <v>421</v>
      </c>
      <c r="D462" s="1"/>
      <c r="E462" s="1"/>
      <c r="F462" s="1"/>
      <c r="G462" s="1"/>
      <c r="H462" s="61" t="n">
        <v>4</v>
      </c>
      <c r="I462" s="1"/>
      <c r="J462" s="1"/>
      <c r="K462" s="15" t="s">
        <v>33</v>
      </c>
      <c r="L462" s="12"/>
      <c r="M462" s="29" t="n">
        <f aca="false">SUMIFS(M$445:M$456,$H$445:$H$456,$H462)</f>
        <v>0</v>
      </c>
      <c r="N462" s="29" t="n">
        <f aca="false">SUMIFS(N$445:N$456,$H$445:$H$456,$H462)</f>
        <v>0.197</v>
      </c>
      <c r="O462" s="29"/>
      <c r="P462" s="29" t="n">
        <f aca="false">SUMIFS(P$445:P$456,$H$445:$H$456,$H462)</f>
        <v>0.197</v>
      </c>
      <c r="Q462" s="29" t="n">
        <f aca="false">SUMIFS(Q$445:Q$456,$H$445:$H$456,$H462)</f>
        <v>0.197</v>
      </c>
      <c r="R462" s="29" t="n">
        <f aca="false">SUMIFS(R$445:R$456,$H$445:$H$456,$H462)</f>
        <v>0.197</v>
      </c>
    </row>
    <row r="463" customFormat="false" ht="13.8" hidden="false" customHeight="false" outlineLevel="0" collapsed="false">
      <c r="A463" s="1"/>
      <c r="B463" s="1"/>
      <c r="C463" s="1"/>
      <c r="D463" s="1"/>
      <c r="E463" s="1"/>
      <c r="F463" s="1"/>
      <c r="G463" s="1"/>
      <c r="H463" s="1"/>
      <c r="I463" s="1"/>
      <c r="J463" s="1"/>
      <c r="K463" s="1"/>
      <c r="L463" s="12"/>
      <c r="M463" s="1"/>
      <c r="N463" s="1"/>
      <c r="O463" s="1"/>
      <c r="P463" s="1"/>
      <c r="Q463" s="1"/>
      <c r="R463" s="1"/>
    </row>
    <row r="464" customFormat="false" ht="13.8" hidden="false" customHeight="false" outlineLevel="0" collapsed="false">
      <c r="A464" s="1"/>
      <c r="B464" s="1"/>
      <c r="C464" s="14" t="s">
        <v>422</v>
      </c>
      <c r="D464" s="1"/>
      <c r="E464" s="1"/>
      <c r="F464" s="1"/>
      <c r="G464" s="1"/>
      <c r="H464" s="1"/>
      <c r="I464" s="1"/>
      <c r="J464" s="1"/>
      <c r="K464" s="1"/>
      <c r="L464" s="12"/>
      <c r="M464" s="1"/>
      <c r="N464" s="1"/>
      <c r="O464" s="1"/>
      <c r="P464" s="1"/>
      <c r="Q464" s="1"/>
      <c r="R464" s="1"/>
    </row>
    <row r="465" customFormat="false" ht="13.8" hidden="false" customHeight="false" outlineLevel="0" collapsed="false">
      <c r="A465" s="1"/>
      <c r="B465" s="1"/>
      <c r="C465" s="1" t="s">
        <v>423</v>
      </c>
      <c r="D465" s="1"/>
      <c r="E465" s="1"/>
      <c r="F465" s="1"/>
      <c r="G465" s="1"/>
      <c r="H465" s="1"/>
      <c r="I465" s="1"/>
      <c r="J465" s="1"/>
      <c r="K465" s="15" t="s">
        <v>33</v>
      </c>
      <c r="L465" s="12"/>
      <c r="M465" s="29" t="n">
        <f aca="false">SUM(M459:M460)</f>
        <v>0</v>
      </c>
      <c r="N465" s="29" t="n">
        <f aca="false">SUM(N459:N460)</f>
        <v>0.453</v>
      </c>
      <c r="O465" s="29"/>
      <c r="P465" s="29" t="n">
        <f aca="false">SUM(P459:P460)</f>
        <v>0.453</v>
      </c>
      <c r="Q465" s="29" t="n">
        <f aca="false">SUM(Q459:Q460)</f>
        <v>0.453</v>
      </c>
      <c r="R465" s="29" t="n">
        <f aca="false">SUM(R459:R460)</f>
        <v>0.453</v>
      </c>
    </row>
    <row r="466" customFormat="false" ht="13.8" hidden="false" customHeight="false" outlineLevel="0" collapsed="false">
      <c r="A466" s="1"/>
      <c r="B466" s="1"/>
      <c r="C466" s="1" t="s">
        <v>424</v>
      </c>
      <c r="D466" s="1"/>
      <c r="E466" s="1"/>
      <c r="F466" s="1"/>
      <c r="G466" s="1"/>
      <c r="H466" s="1"/>
      <c r="I466" s="1"/>
      <c r="J466" s="1"/>
      <c r="K466" s="15" t="s">
        <v>33</v>
      </c>
      <c r="L466" s="12"/>
      <c r="M466" s="29" t="n">
        <f aca="false">SUM(M461:M462)</f>
        <v>0</v>
      </c>
      <c r="N466" s="29" t="n">
        <f aca="false">SUM(N461:N462)</f>
        <v>0.547</v>
      </c>
      <c r="O466" s="29"/>
      <c r="P466" s="29" t="n">
        <f aca="false">SUM(P461:P462)</f>
        <v>0.547</v>
      </c>
      <c r="Q466" s="29" t="n">
        <f aca="false">SUM(Q461:Q462)</f>
        <v>0.547</v>
      </c>
      <c r="R466" s="29" t="n">
        <f aca="false">SUM(R461:R462)</f>
        <v>0.547</v>
      </c>
    </row>
    <row r="467" customFormat="false" ht="13.8" hidden="false" customHeight="false" outlineLevel="0" collapsed="false">
      <c r="A467" s="1"/>
      <c r="B467" s="1"/>
      <c r="C467" s="1"/>
      <c r="D467" s="1"/>
      <c r="E467" s="1"/>
      <c r="F467" s="1"/>
      <c r="G467" s="1"/>
      <c r="H467" s="1"/>
      <c r="I467" s="1"/>
      <c r="J467" s="1"/>
      <c r="K467" s="1"/>
      <c r="L467" s="12"/>
      <c r="M467" s="1"/>
      <c r="N467" s="1"/>
      <c r="O467" s="1"/>
      <c r="P467" s="1"/>
      <c r="Q467" s="1"/>
      <c r="R467" s="1"/>
    </row>
    <row r="468" customFormat="false" ht="13.8" hidden="false" customHeight="false" outlineLevel="0" collapsed="false">
      <c r="B468" s="11" t="n">
        <f aca="false">B439+1</f>
        <v>10</v>
      </c>
      <c r="C468" s="11" t="s">
        <v>425</v>
      </c>
      <c r="D468" s="11"/>
      <c r="E468" s="11"/>
      <c r="F468" s="11"/>
      <c r="G468" s="11"/>
      <c r="H468" s="11"/>
      <c r="I468" s="11"/>
      <c r="J468" s="11"/>
      <c r="K468" s="11"/>
      <c r="L468" s="11"/>
      <c r="M468" s="11"/>
      <c r="N468" s="11"/>
      <c r="O468" s="11"/>
      <c r="P468" s="11"/>
      <c r="Q468" s="11"/>
      <c r="R468" s="11"/>
    </row>
    <row r="469" customFormat="false" ht="13.8" hidden="false" customHeight="false" outlineLevel="0" collapsed="false">
      <c r="A469" s="1"/>
      <c r="B469" s="1"/>
      <c r="C469" s="1"/>
      <c r="D469" s="1"/>
      <c r="E469" s="1"/>
      <c r="F469" s="1"/>
      <c r="G469" s="1"/>
      <c r="H469" s="1"/>
      <c r="I469" s="1"/>
      <c r="J469" s="1"/>
      <c r="K469" s="1"/>
      <c r="L469" s="12"/>
      <c r="M469" s="1"/>
      <c r="N469" s="1"/>
      <c r="O469" s="1"/>
      <c r="P469" s="1"/>
      <c r="Q469" s="1"/>
      <c r="R469" s="1"/>
    </row>
    <row r="470" customFormat="false" ht="13.8" hidden="false" customHeight="false" outlineLevel="0" collapsed="false">
      <c r="A470" s="1"/>
      <c r="B470" s="1"/>
      <c r="C470" s="6" t="s">
        <v>426</v>
      </c>
      <c r="D470" s="1"/>
      <c r="E470" s="1"/>
      <c r="F470" s="1"/>
      <c r="G470" s="1"/>
      <c r="H470" s="1"/>
      <c r="I470" s="1"/>
      <c r="J470" s="1"/>
      <c r="K470" s="1"/>
      <c r="L470" s="12"/>
      <c r="M470" s="1"/>
      <c r="N470" s="1"/>
      <c r="O470" s="1"/>
      <c r="P470" s="1"/>
      <c r="Q470" s="1"/>
      <c r="R470" s="1"/>
    </row>
    <row r="471" customFormat="false" ht="13.8" hidden="false" customHeight="false" outlineLevel="0" collapsed="false">
      <c r="A471" s="1"/>
      <c r="B471" s="1"/>
      <c r="C471" s="1" t="s">
        <v>427</v>
      </c>
      <c r="D471" s="1"/>
      <c r="E471" s="1"/>
      <c r="F471" s="1"/>
      <c r="G471" s="1"/>
      <c r="H471" s="1"/>
      <c r="I471" s="1"/>
      <c r="J471" s="1"/>
      <c r="K471" s="15" t="s">
        <v>108</v>
      </c>
      <c r="L471" s="12"/>
      <c r="M471" s="64"/>
      <c r="N471" s="64" t="n">
        <v>48</v>
      </c>
      <c r="O471" s="64"/>
      <c r="P471" s="64" t="n">
        <v>48</v>
      </c>
      <c r="Q471" s="64" t="n">
        <v>48</v>
      </c>
      <c r="R471" s="64" t="n">
        <v>48</v>
      </c>
    </row>
    <row r="472" customFormat="false" ht="13.8" hidden="false" customHeight="false" outlineLevel="0" collapsed="false">
      <c r="A472" s="1"/>
      <c r="B472" s="1"/>
      <c r="C472" s="1"/>
      <c r="D472" s="1"/>
      <c r="E472" s="1"/>
      <c r="F472" s="1"/>
      <c r="G472" s="1"/>
      <c r="H472" s="1"/>
      <c r="I472" s="1"/>
      <c r="J472" s="1"/>
      <c r="K472" s="1"/>
      <c r="L472" s="12"/>
      <c r="M472" s="1"/>
      <c r="N472" s="1"/>
      <c r="O472" s="1"/>
      <c r="P472" s="1"/>
      <c r="Q472" s="1"/>
      <c r="R472" s="1"/>
    </row>
    <row r="473" customFormat="false" ht="13.8" hidden="false" customHeight="false" outlineLevel="0" collapsed="false">
      <c r="A473" s="1"/>
      <c r="B473" s="1"/>
      <c r="C473" s="6" t="s">
        <v>428</v>
      </c>
      <c r="D473" s="1"/>
      <c r="E473" s="1"/>
      <c r="F473" s="1"/>
      <c r="G473" s="1"/>
      <c r="H473" s="1"/>
      <c r="I473" s="1"/>
      <c r="J473" s="1"/>
      <c r="K473" s="1"/>
      <c r="L473" s="12"/>
      <c r="M473" s="1"/>
      <c r="N473" s="1"/>
      <c r="O473" s="1"/>
      <c r="P473" s="1"/>
      <c r="Q473" s="1"/>
      <c r="R473" s="1"/>
    </row>
    <row r="474" customFormat="false" ht="14.9" hidden="false" customHeight="false" outlineLevel="0" collapsed="false">
      <c r="A474" s="1"/>
      <c r="B474" s="1"/>
      <c r="C474" s="1" t="s">
        <v>429</v>
      </c>
      <c r="D474" s="1"/>
      <c r="E474" s="1"/>
      <c r="F474" s="1"/>
      <c r="G474" s="1"/>
      <c r="H474" s="1"/>
      <c r="I474" s="1"/>
      <c r="J474" s="1"/>
      <c r="K474" s="15" t="s">
        <v>430</v>
      </c>
      <c r="L474" s="12"/>
      <c r="M474" s="63"/>
      <c r="N474" s="63" t="b">
        <f aca="false">TRUE()</f>
        <v>1</v>
      </c>
      <c r="O474" s="63"/>
      <c r="P474" s="63" t="b">
        <f aca="false">TRUE()</f>
        <v>1</v>
      </c>
      <c r="Q474" s="63" t="b">
        <f aca="false">TRUE()</f>
        <v>1</v>
      </c>
      <c r="R474" s="63" t="b">
        <f aca="false">TRUE()</f>
        <v>1</v>
      </c>
    </row>
    <row r="475" customFormat="false" ht="13.8" hidden="false" customHeight="false" outlineLevel="0" collapsed="false">
      <c r="A475" s="1"/>
      <c r="B475" s="1"/>
      <c r="C475" s="1" t="s">
        <v>431</v>
      </c>
      <c r="D475" s="1"/>
      <c r="E475" s="1"/>
      <c r="F475" s="1"/>
      <c r="G475" s="1"/>
      <c r="H475" s="1"/>
      <c r="I475" s="1"/>
      <c r="J475" s="1"/>
      <c r="K475" s="15" t="s">
        <v>80</v>
      </c>
      <c r="L475" s="12"/>
      <c r="M475" s="94"/>
      <c r="N475" s="94" t="s">
        <v>432</v>
      </c>
      <c r="O475" s="94"/>
      <c r="P475" s="94" t="s">
        <v>432</v>
      </c>
      <c r="Q475" s="94" t="s">
        <v>432</v>
      </c>
      <c r="R475" s="94" t="s">
        <v>432</v>
      </c>
    </row>
    <row r="476" customFormat="false" ht="13.8" hidden="false" customHeight="false" outlineLevel="0" collapsed="false">
      <c r="A476" s="1"/>
      <c r="B476" s="1"/>
      <c r="C476" s="1" t="s">
        <v>433</v>
      </c>
      <c r="D476" s="1"/>
      <c r="E476" s="1"/>
      <c r="F476" s="1"/>
      <c r="G476" s="1"/>
      <c r="H476" s="1"/>
      <c r="I476" s="1"/>
      <c r="J476" s="1"/>
      <c r="K476" s="15" t="s">
        <v>80</v>
      </c>
      <c r="L476" s="12"/>
      <c r="M476" s="94"/>
      <c r="N476" s="94" t="s">
        <v>434</v>
      </c>
      <c r="O476" s="94"/>
      <c r="P476" s="94" t="s">
        <v>434</v>
      </c>
      <c r="Q476" s="94" t="s">
        <v>434</v>
      </c>
      <c r="R476" s="94" t="s">
        <v>434</v>
      </c>
    </row>
    <row r="477" customFormat="false" ht="13.8" hidden="false" customHeight="false" outlineLevel="0" collapsed="false">
      <c r="A477" s="1"/>
      <c r="B477" s="1"/>
      <c r="C477" s="1" t="s">
        <v>435</v>
      </c>
      <c r="D477" s="1"/>
      <c r="E477" s="1"/>
      <c r="F477" s="1"/>
      <c r="G477" s="1"/>
      <c r="H477" s="1"/>
      <c r="I477" s="1"/>
      <c r="J477" s="1"/>
      <c r="K477" s="15" t="s">
        <v>80</v>
      </c>
      <c r="L477" s="12"/>
      <c r="M477" s="86" t="e">
        <f aca="false">INDEX(M475:M476,scenario,)</f>
        <v>#REF!</v>
      </c>
      <c r="N477" s="86" t="e">
        <f aca="false">INDEX(N475:N476,scenario,)</f>
        <v>#REF!</v>
      </c>
      <c r="O477" s="86"/>
      <c r="P477" s="86" t="e">
        <f aca="false">INDEX(P475:P476,scenario,)</f>
        <v>#REF!</v>
      </c>
      <c r="Q477" s="86" t="e">
        <f aca="false">INDEX(Q475:Q476,scenario,)</f>
        <v>#REF!</v>
      </c>
      <c r="R477" s="86" t="e">
        <f aca="false">INDEX(R475:R476,scenario,)</f>
        <v>#REF!</v>
      </c>
    </row>
    <row r="478" customFormat="false" ht="13.8" hidden="false" customHeight="false" outlineLevel="0" collapsed="false">
      <c r="A478" s="1"/>
      <c r="B478" s="1"/>
      <c r="D478" s="1"/>
      <c r="E478" s="1"/>
      <c r="F478" s="1"/>
      <c r="G478" s="1"/>
      <c r="H478" s="1"/>
      <c r="I478" s="1"/>
      <c r="J478" s="1"/>
      <c r="K478" s="1"/>
      <c r="L478" s="12"/>
      <c r="M478" s="1"/>
      <c r="N478" s="1"/>
      <c r="O478" s="1"/>
      <c r="P478" s="1"/>
      <c r="Q478" s="1"/>
      <c r="R478" s="1"/>
    </row>
    <row r="479" customFormat="false" ht="13.8" hidden="false" customHeight="false" outlineLevel="0" collapsed="false">
      <c r="B479" s="11" t="n">
        <f aca="false">B468+1</f>
        <v>11</v>
      </c>
      <c r="C479" s="11" t="s">
        <v>436</v>
      </c>
      <c r="D479" s="11"/>
      <c r="E479" s="11"/>
      <c r="F479" s="11"/>
      <c r="G479" s="11"/>
      <c r="H479" s="11"/>
      <c r="I479" s="11"/>
      <c r="J479" s="11"/>
      <c r="K479" s="11"/>
      <c r="L479" s="11"/>
      <c r="M479" s="11"/>
      <c r="N479" s="11"/>
      <c r="O479" s="11"/>
      <c r="P479" s="11"/>
      <c r="Q479" s="11"/>
      <c r="R479" s="11"/>
    </row>
    <row r="480" customFormat="false" ht="13.8" hidden="false" customHeight="false" outlineLevel="0" collapsed="false">
      <c r="A480" s="1"/>
      <c r="B480" s="1"/>
      <c r="C480" s="1"/>
      <c r="D480" s="1"/>
      <c r="E480" s="1"/>
      <c r="F480" s="1"/>
      <c r="G480" s="1"/>
      <c r="H480" s="1"/>
      <c r="I480" s="1"/>
      <c r="J480" s="1"/>
      <c r="K480" s="1"/>
      <c r="L480" s="12"/>
      <c r="M480" s="1"/>
      <c r="N480" s="1"/>
      <c r="O480" s="1"/>
      <c r="P480" s="1"/>
      <c r="Q480" s="1"/>
      <c r="R480" s="1"/>
    </row>
    <row r="481" customFormat="false" ht="13.8" hidden="false" customHeight="false" outlineLevel="0" collapsed="false">
      <c r="A481" s="1"/>
      <c r="B481" s="1"/>
      <c r="C481" s="5" t="s">
        <v>437</v>
      </c>
      <c r="D481" s="1"/>
      <c r="E481" s="1"/>
      <c r="F481" s="1"/>
      <c r="G481" s="1"/>
      <c r="H481" s="1"/>
      <c r="I481" s="1"/>
      <c r="J481" s="1"/>
      <c r="K481" s="1"/>
      <c r="L481" s="12"/>
      <c r="M481" s="1"/>
      <c r="N481" s="1"/>
      <c r="O481" s="1"/>
      <c r="P481" s="1"/>
      <c r="Q481" s="1"/>
      <c r="R481" s="1"/>
    </row>
    <row r="482" customFormat="false" ht="13.8" hidden="false" customHeight="false" outlineLevel="0" collapsed="false">
      <c r="A482" s="1"/>
      <c r="B482" s="1"/>
      <c r="C482" s="14" t="s">
        <v>148</v>
      </c>
      <c r="D482" s="1"/>
      <c r="E482" s="1"/>
      <c r="F482" s="1"/>
      <c r="G482" s="1"/>
      <c r="H482" s="1"/>
      <c r="I482" s="1"/>
      <c r="J482" s="1"/>
      <c r="K482" s="1"/>
      <c r="L482" s="12"/>
      <c r="M482" s="1"/>
      <c r="N482" s="1"/>
      <c r="O482" s="1"/>
      <c r="P482" s="1"/>
      <c r="Q482" s="1"/>
      <c r="R482" s="1"/>
    </row>
    <row r="483" customFormat="false" ht="13.8" hidden="false" customHeight="false" outlineLevel="0" collapsed="false">
      <c r="A483" s="1"/>
      <c r="B483" s="1"/>
      <c r="C483" s="102" t="n">
        <f aca="false">YEAR(Model_Start_Date)</f>
        <v>2025</v>
      </c>
      <c r="D483" s="1"/>
      <c r="E483" s="1"/>
      <c r="F483" s="1"/>
      <c r="G483" s="1"/>
      <c r="H483" s="1"/>
      <c r="I483" s="1"/>
      <c r="J483" s="1"/>
      <c r="K483" s="15" t="s">
        <v>12</v>
      </c>
      <c r="L483" s="12"/>
      <c r="M483" s="67"/>
      <c r="N483" s="67"/>
      <c r="O483" s="67"/>
      <c r="P483" s="67"/>
      <c r="Q483" s="67"/>
      <c r="R483" s="67"/>
    </row>
    <row r="484" customFormat="false" ht="13.8" hidden="false" customHeight="false" outlineLevel="0" collapsed="false">
      <c r="A484" s="1"/>
      <c r="B484" s="1"/>
      <c r="C484" s="86" t="n">
        <f aca="false">C483+1</f>
        <v>2026</v>
      </c>
      <c r="D484" s="1"/>
      <c r="E484" s="1"/>
      <c r="F484" s="1"/>
      <c r="G484" s="1"/>
      <c r="H484" s="1"/>
      <c r="I484" s="1"/>
      <c r="J484" s="1"/>
      <c r="K484" s="15" t="s">
        <v>12</v>
      </c>
      <c r="L484" s="12"/>
      <c r="M484" s="67"/>
      <c r="N484" s="67"/>
      <c r="O484" s="67"/>
      <c r="P484" s="67"/>
      <c r="Q484" s="67"/>
      <c r="R484" s="67"/>
    </row>
    <row r="485" customFormat="false" ht="13.8" hidden="false" customHeight="false" outlineLevel="0" collapsed="false">
      <c r="A485" s="1"/>
      <c r="B485" s="1"/>
      <c r="C485" s="86" t="n">
        <f aca="false">C484+1</f>
        <v>2027</v>
      </c>
      <c r="D485" s="1"/>
      <c r="E485" s="1"/>
      <c r="F485" s="1"/>
      <c r="G485" s="1"/>
      <c r="H485" s="1"/>
      <c r="I485" s="1"/>
      <c r="J485" s="1"/>
      <c r="K485" s="15" t="s">
        <v>12</v>
      </c>
      <c r="L485" s="12"/>
      <c r="M485" s="67"/>
      <c r="N485" s="67"/>
      <c r="O485" s="67"/>
      <c r="P485" s="67"/>
      <c r="Q485" s="67"/>
      <c r="R485" s="67"/>
    </row>
    <row r="486" customFormat="false" ht="13.8" hidden="false" customHeight="false" outlineLevel="0" collapsed="false">
      <c r="A486" s="1"/>
      <c r="B486" s="1"/>
      <c r="C486" s="86" t="n">
        <f aca="false">C485+1</f>
        <v>2028</v>
      </c>
      <c r="D486" s="1"/>
      <c r="E486" s="1"/>
      <c r="F486" s="1"/>
      <c r="G486" s="1"/>
      <c r="H486" s="1"/>
      <c r="I486" s="1"/>
      <c r="J486" s="1"/>
      <c r="K486" s="15" t="s">
        <v>12</v>
      </c>
      <c r="L486" s="12"/>
      <c r="M486" s="67"/>
      <c r="N486" s="67"/>
      <c r="O486" s="67"/>
      <c r="P486" s="67"/>
      <c r="Q486" s="67"/>
      <c r="R486" s="67"/>
    </row>
    <row r="487" customFormat="false" ht="13.8" hidden="false" customHeight="false" outlineLevel="0" collapsed="false">
      <c r="A487" s="1"/>
      <c r="B487" s="1"/>
      <c r="C487" s="86" t="n">
        <f aca="false">C486+1</f>
        <v>2029</v>
      </c>
      <c r="D487" s="1"/>
      <c r="E487" s="1"/>
      <c r="F487" s="1"/>
      <c r="G487" s="1"/>
      <c r="H487" s="1"/>
      <c r="I487" s="1"/>
      <c r="J487" s="1"/>
      <c r="K487" s="15" t="s">
        <v>12</v>
      </c>
      <c r="L487" s="12"/>
      <c r="M487" s="67"/>
      <c r="N487" s="67"/>
      <c r="O487" s="67"/>
      <c r="P487" s="67"/>
      <c r="Q487" s="67"/>
      <c r="R487" s="67"/>
    </row>
    <row r="488" customFormat="false" ht="13.8" hidden="false" customHeight="false" outlineLevel="0" collapsed="false">
      <c r="A488" s="1"/>
      <c r="B488" s="1"/>
      <c r="C488" s="86" t="n">
        <f aca="false">C487+1</f>
        <v>2030</v>
      </c>
      <c r="D488" s="1"/>
      <c r="E488" s="1"/>
      <c r="F488" s="1"/>
      <c r="G488" s="1"/>
      <c r="H488" s="1"/>
      <c r="I488" s="1"/>
      <c r="J488" s="1"/>
      <c r="K488" s="15" t="s">
        <v>12</v>
      </c>
      <c r="L488" s="12"/>
      <c r="M488" s="67"/>
      <c r="N488" s="67"/>
      <c r="O488" s="67"/>
      <c r="P488" s="67"/>
      <c r="Q488" s="67"/>
      <c r="R488" s="67"/>
    </row>
    <row r="489" customFormat="false" ht="13.8" hidden="false" customHeight="false" outlineLevel="0" collapsed="false">
      <c r="A489" s="1"/>
      <c r="B489" s="1"/>
      <c r="C489" s="86" t="n">
        <f aca="false">C488+1</f>
        <v>2031</v>
      </c>
      <c r="D489" s="1"/>
      <c r="E489" s="1"/>
      <c r="F489" s="1"/>
      <c r="G489" s="1"/>
      <c r="H489" s="1"/>
      <c r="I489" s="1"/>
      <c r="J489" s="1"/>
      <c r="K489" s="15" t="s">
        <v>12</v>
      </c>
      <c r="L489" s="12"/>
      <c r="M489" s="67"/>
      <c r="N489" s="67"/>
      <c r="O489" s="67"/>
      <c r="P489" s="67"/>
      <c r="Q489" s="67"/>
      <c r="R489" s="67"/>
    </row>
    <row r="490" customFormat="false" ht="13.8" hidden="false" customHeight="false" outlineLevel="0" collapsed="false">
      <c r="A490" s="1"/>
      <c r="B490" s="1"/>
      <c r="C490" s="86" t="n">
        <f aca="false">C489+1</f>
        <v>2032</v>
      </c>
      <c r="D490" s="1"/>
      <c r="E490" s="1"/>
      <c r="F490" s="1"/>
      <c r="G490" s="1"/>
      <c r="H490" s="1"/>
      <c r="I490" s="1"/>
      <c r="J490" s="1"/>
      <c r="K490" s="15" t="s">
        <v>12</v>
      </c>
      <c r="L490" s="12"/>
      <c r="M490" s="67"/>
      <c r="N490" s="67"/>
      <c r="O490" s="67"/>
      <c r="P490" s="67"/>
      <c r="Q490" s="67"/>
      <c r="R490" s="67"/>
    </row>
    <row r="491" customFormat="false" ht="13.8" hidden="false" customHeight="false" outlineLevel="0" collapsed="false">
      <c r="A491" s="1"/>
      <c r="B491" s="1"/>
      <c r="C491" s="86" t="n">
        <f aca="false">C490+1</f>
        <v>2033</v>
      </c>
      <c r="D491" s="1"/>
      <c r="E491" s="1"/>
      <c r="F491" s="1"/>
      <c r="G491" s="1"/>
      <c r="H491" s="1"/>
      <c r="I491" s="1"/>
      <c r="J491" s="1"/>
      <c r="K491" s="15" t="s">
        <v>12</v>
      </c>
      <c r="L491" s="12"/>
      <c r="M491" s="67"/>
      <c r="N491" s="67"/>
      <c r="O491" s="67"/>
      <c r="P491" s="67"/>
      <c r="Q491" s="67"/>
      <c r="R491" s="67"/>
    </row>
    <row r="492" customFormat="false" ht="13.8" hidden="false" customHeight="false" outlineLevel="0" collapsed="false">
      <c r="A492" s="1"/>
      <c r="B492" s="1"/>
      <c r="C492" s="86" t="n">
        <f aca="false">C491+1</f>
        <v>2034</v>
      </c>
      <c r="D492" s="1"/>
      <c r="E492" s="1"/>
      <c r="F492" s="1"/>
      <c r="G492" s="1"/>
      <c r="H492" s="1"/>
      <c r="I492" s="1"/>
      <c r="J492" s="1"/>
      <c r="K492" s="15" t="s">
        <v>12</v>
      </c>
      <c r="L492" s="12"/>
      <c r="M492" s="67"/>
      <c r="N492" s="67"/>
      <c r="O492" s="67"/>
      <c r="P492" s="67"/>
      <c r="Q492" s="67"/>
      <c r="R492" s="67"/>
    </row>
    <row r="493" customFormat="false" ht="13.8" hidden="false" customHeight="false" outlineLevel="0" collapsed="false">
      <c r="A493" s="1"/>
      <c r="B493" s="1"/>
      <c r="C493" s="86" t="n">
        <f aca="false">C492+1</f>
        <v>2035</v>
      </c>
      <c r="D493" s="1"/>
      <c r="E493" s="1"/>
      <c r="F493" s="1"/>
      <c r="G493" s="1"/>
      <c r="H493" s="1"/>
      <c r="I493" s="1"/>
      <c r="J493" s="1"/>
      <c r="K493" s="15" t="s">
        <v>12</v>
      </c>
      <c r="L493" s="12"/>
      <c r="M493" s="67"/>
      <c r="N493" s="67"/>
      <c r="O493" s="67"/>
      <c r="P493" s="67"/>
      <c r="Q493" s="67"/>
      <c r="R493" s="67"/>
    </row>
    <row r="494" customFormat="false" ht="13.8" hidden="false" customHeight="false" outlineLevel="0" collapsed="false">
      <c r="A494" s="1"/>
      <c r="B494" s="1"/>
      <c r="C494" s="86" t="n">
        <f aca="false">C493+1</f>
        <v>2036</v>
      </c>
      <c r="D494" s="1"/>
      <c r="E494" s="1"/>
      <c r="F494" s="1"/>
      <c r="G494" s="1"/>
      <c r="H494" s="1"/>
      <c r="I494" s="1"/>
      <c r="J494" s="1"/>
      <c r="K494" s="15" t="s">
        <v>12</v>
      </c>
      <c r="L494" s="12"/>
      <c r="M494" s="67"/>
      <c r="N494" s="67"/>
      <c r="O494" s="67"/>
      <c r="P494" s="67"/>
      <c r="Q494" s="67"/>
      <c r="R494" s="67"/>
    </row>
    <row r="495" customFormat="false" ht="13.8" hidden="false" customHeight="false" outlineLevel="0" collapsed="false">
      <c r="A495" s="1"/>
      <c r="B495" s="1"/>
      <c r="C495" s="86" t="n">
        <f aca="false">C494+1</f>
        <v>2037</v>
      </c>
      <c r="D495" s="1"/>
      <c r="E495" s="1"/>
      <c r="F495" s="1"/>
      <c r="G495" s="1"/>
      <c r="H495" s="1"/>
      <c r="I495" s="1"/>
      <c r="J495" s="1"/>
      <c r="K495" s="15" t="s">
        <v>12</v>
      </c>
      <c r="L495" s="12"/>
      <c r="M495" s="67"/>
      <c r="N495" s="67"/>
      <c r="O495" s="67"/>
      <c r="P495" s="67"/>
      <c r="Q495" s="67"/>
      <c r="R495" s="67"/>
    </row>
    <row r="496" customFormat="false" ht="13.8" hidden="false" customHeight="false" outlineLevel="0" collapsed="false">
      <c r="A496" s="1"/>
      <c r="B496" s="1"/>
      <c r="C496" s="86" t="n">
        <f aca="false">C495+1</f>
        <v>2038</v>
      </c>
      <c r="D496" s="1"/>
      <c r="E496" s="1"/>
      <c r="F496" s="1"/>
      <c r="G496" s="1"/>
      <c r="H496" s="1"/>
      <c r="I496" s="1"/>
      <c r="J496" s="1"/>
      <c r="K496" s="15" t="s">
        <v>12</v>
      </c>
      <c r="L496" s="12"/>
      <c r="M496" s="67"/>
      <c r="N496" s="67"/>
      <c r="O496" s="67"/>
      <c r="P496" s="67"/>
      <c r="Q496" s="67"/>
      <c r="R496" s="67"/>
    </row>
    <row r="497" customFormat="false" ht="13.8" hidden="false" customHeight="false" outlineLevel="0" collapsed="false">
      <c r="A497" s="1"/>
      <c r="B497" s="1"/>
      <c r="C497" s="86" t="n">
        <f aca="false">C496+1</f>
        <v>2039</v>
      </c>
      <c r="D497" s="1"/>
      <c r="E497" s="1"/>
      <c r="F497" s="1"/>
      <c r="G497" s="1"/>
      <c r="H497" s="1"/>
      <c r="I497" s="1"/>
      <c r="J497" s="1"/>
      <c r="K497" s="15" t="s">
        <v>12</v>
      </c>
      <c r="L497" s="12"/>
      <c r="M497" s="67"/>
      <c r="N497" s="67"/>
      <c r="O497" s="67"/>
      <c r="P497" s="67"/>
      <c r="Q497" s="67"/>
      <c r="R497" s="67"/>
    </row>
    <row r="498" customFormat="false" ht="13.8" hidden="false" customHeight="false" outlineLevel="0" collapsed="false">
      <c r="A498" s="1"/>
      <c r="B498" s="1"/>
      <c r="C498" s="86" t="n">
        <f aca="false">C497+1</f>
        <v>2040</v>
      </c>
      <c r="D498" s="1"/>
      <c r="E498" s="1"/>
      <c r="F498" s="1"/>
      <c r="G498" s="1"/>
      <c r="H498" s="1"/>
      <c r="I498" s="1"/>
      <c r="J498" s="1"/>
      <c r="K498" s="15" t="s">
        <v>12</v>
      </c>
      <c r="L498" s="12"/>
      <c r="M498" s="67"/>
      <c r="N498" s="67"/>
      <c r="O498" s="67"/>
      <c r="P498" s="67"/>
      <c r="Q498" s="67"/>
      <c r="R498" s="67"/>
    </row>
    <row r="499" customFormat="false" ht="13.8" hidden="false" customHeight="false" outlineLevel="0" collapsed="false">
      <c r="A499" s="1"/>
      <c r="B499" s="1"/>
      <c r="C499" s="86" t="n">
        <f aca="false">C498+1</f>
        <v>2041</v>
      </c>
      <c r="D499" s="1"/>
      <c r="E499" s="1"/>
      <c r="F499" s="1"/>
      <c r="G499" s="1"/>
      <c r="H499" s="1"/>
      <c r="I499" s="1"/>
      <c r="J499" s="1"/>
      <c r="K499" s="15" t="s">
        <v>12</v>
      </c>
      <c r="L499" s="12"/>
      <c r="M499" s="67"/>
      <c r="N499" s="67"/>
      <c r="O499" s="67"/>
      <c r="P499" s="67"/>
      <c r="Q499" s="67"/>
      <c r="R499" s="67"/>
    </row>
    <row r="500" customFormat="false" ht="13.8" hidden="false" customHeight="false" outlineLevel="0" collapsed="false">
      <c r="A500" s="1"/>
      <c r="B500" s="1"/>
      <c r="C500" s="86" t="n">
        <f aca="false">C499+1</f>
        <v>2042</v>
      </c>
      <c r="D500" s="1"/>
      <c r="E500" s="1"/>
      <c r="F500" s="1"/>
      <c r="G500" s="1"/>
      <c r="H500" s="1"/>
      <c r="I500" s="1"/>
      <c r="J500" s="1"/>
      <c r="K500" s="15" t="s">
        <v>12</v>
      </c>
      <c r="L500" s="12"/>
      <c r="M500" s="67"/>
      <c r="N500" s="67"/>
      <c r="O500" s="67"/>
      <c r="P500" s="67"/>
      <c r="Q500" s="67"/>
      <c r="R500" s="67"/>
    </row>
    <row r="501" customFormat="false" ht="13.8" hidden="false" customHeight="false" outlineLevel="0" collapsed="false">
      <c r="A501" s="1"/>
      <c r="B501" s="1"/>
      <c r="C501" s="86" t="n">
        <f aca="false">C500+1</f>
        <v>2043</v>
      </c>
      <c r="D501" s="1"/>
      <c r="E501" s="1"/>
      <c r="F501" s="1"/>
      <c r="G501" s="1"/>
      <c r="H501" s="1"/>
      <c r="I501" s="1"/>
      <c r="J501" s="1"/>
      <c r="K501" s="15" t="s">
        <v>12</v>
      </c>
      <c r="L501" s="12"/>
      <c r="M501" s="67"/>
      <c r="N501" s="67"/>
      <c r="O501" s="67"/>
      <c r="P501" s="67"/>
      <c r="Q501" s="67"/>
      <c r="R501" s="67"/>
    </row>
    <row r="502" customFormat="false" ht="13.8" hidden="false" customHeight="false" outlineLevel="0" collapsed="false">
      <c r="A502" s="1"/>
      <c r="B502" s="1"/>
      <c r="C502" s="86" t="n">
        <f aca="false">C501+1</f>
        <v>2044</v>
      </c>
      <c r="D502" s="1"/>
      <c r="E502" s="1"/>
      <c r="F502" s="1"/>
      <c r="G502" s="1"/>
      <c r="H502" s="1"/>
      <c r="I502" s="1"/>
      <c r="J502" s="1"/>
      <c r="K502" s="15" t="s">
        <v>12</v>
      </c>
      <c r="L502" s="12"/>
      <c r="M502" s="67"/>
      <c r="N502" s="67"/>
      <c r="O502" s="67"/>
      <c r="P502" s="67"/>
      <c r="Q502" s="67"/>
      <c r="R502" s="67"/>
    </row>
    <row r="503" customFormat="false" ht="13.8" hidden="false" customHeight="false" outlineLevel="0" collapsed="false">
      <c r="A503" s="1"/>
      <c r="B503" s="1"/>
      <c r="C503" s="86" t="n">
        <f aca="false">C502+1</f>
        <v>2045</v>
      </c>
      <c r="D503" s="1"/>
      <c r="E503" s="1"/>
      <c r="F503" s="1"/>
      <c r="G503" s="1"/>
      <c r="H503" s="1"/>
      <c r="I503" s="1"/>
      <c r="J503" s="1"/>
      <c r="K503" s="15" t="s">
        <v>12</v>
      </c>
      <c r="L503" s="12"/>
      <c r="M503" s="67"/>
      <c r="N503" s="67"/>
      <c r="O503" s="67"/>
      <c r="P503" s="67"/>
      <c r="Q503" s="67"/>
      <c r="R503" s="67"/>
    </row>
    <row r="504" customFormat="false" ht="13.8" hidden="false" customHeight="false" outlineLevel="0" collapsed="false">
      <c r="A504" s="1"/>
      <c r="B504" s="1"/>
      <c r="C504" s="86" t="n">
        <f aca="false">C503+1</f>
        <v>2046</v>
      </c>
      <c r="D504" s="1"/>
      <c r="E504" s="1"/>
      <c r="F504" s="1"/>
      <c r="G504" s="1"/>
      <c r="H504" s="1"/>
      <c r="I504" s="1"/>
      <c r="J504" s="1"/>
      <c r="K504" s="15" t="s">
        <v>12</v>
      </c>
      <c r="L504" s="12"/>
      <c r="M504" s="67"/>
      <c r="N504" s="67"/>
      <c r="O504" s="67"/>
      <c r="P504" s="67"/>
      <c r="Q504" s="67"/>
      <c r="R504" s="67"/>
    </row>
    <row r="505" customFormat="false" ht="13.8" hidden="false" customHeight="false" outlineLevel="0" collapsed="false">
      <c r="A505" s="1"/>
      <c r="B505" s="1"/>
      <c r="C505" s="86" t="n">
        <f aca="false">C504+1</f>
        <v>2047</v>
      </c>
      <c r="D505" s="1"/>
      <c r="E505" s="1"/>
      <c r="F505" s="1"/>
      <c r="G505" s="1"/>
      <c r="H505" s="1"/>
      <c r="I505" s="1"/>
      <c r="J505" s="1"/>
      <c r="K505" s="15" t="s">
        <v>12</v>
      </c>
      <c r="L505" s="12"/>
      <c r="M505" s="67"/>
      <c r="N505" s="67"/>
      <c r="O505" s="67"/>
      <c r="P505" s="67"/>
      <c r="Q505" s="67"/>
      <c r="R505" s="67"/>
    </row>
    <row r="506" customFormat="false" ht="13.8" hidden="false" customHeight="false" outlineLevel="0" collapsed="false">
      <c r="A506" s="1"/>
      <c r="B506" s="1"/>
      <c r="C506" s="86" t="n">
        <f aca="false">C505+1</f>
        <v>2048</v>
      </c>
      <c r="D506" s="1"/>
      <c r="E506" s="1"/>
      <c r="F506" s="1"/>
      <c r="G506" s="1"/>
      <c r="H506" s="1"/>
      <c r="I506" s="1"/>
      <c r="J506" s="1"/>
      <c r="K506" s="15" t="s">
        <v>12</v>
      </c>
      <c r="L506" s="12"/>
      <c r="M506" s="67"/>
      <c r="N506" s="67"/>
      <c r="O506" s="67"/>
      <c r="P506" s="67"/>
      <c r="Q506" s="67"/>
      <c r="R506" s="67"/>
    </row>
    <row r="507" customFormat="false" ht="13.8" hidden="false" customHeight="false" outlineLevel="0" collapsed="false">
      <c r="A507" s="1"/>
      <c r="B507" s="1"/>
      <c r="C507" s="86" t="n">
        <f aca="false">C506+1</f>
        <v>2049</v>
      </c>
      <c r="D507" s="1"/>
      <c r="E507" s="1"/>
      <c r="F507" s="1"/>
      <c r="G507" s="1"/>
      <c r="H507" s="1"/>
      <c r="I507" s="1"/>
      <c r="J507" s="1"/>
      <c r="K507" s="15" t="s">
        <v>12</v>
      </c>
      <c r="L507" s="12"/>
      <c r="M507" s="67"/>
      <c r="N507" s="67"/>
      <c r="O507" s="67"/>
      <c r="P507" s="67"/>
      <c r="Q507" s="67"/>
      <c r="R507" s="67"/>
    </row>
    <row r="508" customFormat="false" ht="13.8" hidden="false" customHeight="false" outlineLevel="0" collapsed="false">
      <c r="A508" s="1"/>
      <c r="B508" s="1"/>
      <c r="C508" s="86" t="n">
        <f aca="false">C507+1</f>
        <v>2050</v>
      </c>
      <c r="D508" s="1"/>
      <c r="E508" s="1"/>
      <c r="F508" s="1"/>
      <c r="G508" s="1"/>
      <c r="H508" s="1"/>
      <c r="I508" s="1"/>
      <c r="J508" s="1"/>
      <c r="K508" s="15" t="s">
        <v>12</v>
      </c>
      <c r="L508" s="12"/>
      <c r="M508" s="67"/>
      <c r="N508" s="67"/>
      <c r="O508" s="67"/>
      <c r="P508" s="67"/>
      <c r="Q508" s="67"/>
      <c r="R508" s="67"/>
    </row>
    <row r="509" customFormat="false" ht="13.8" hidden="false" customHeight="false" outlineLevel="0" collapsed="false">
      <c r="A509" s="1"/>
      <c r="B509" s="1"/>
      <c r="C509" s="86" t="n">
        <f aca="false">C508+1</f>
        <v>2051</v>
      </c>
      <c r="D509" s="1"/>
      <c r="E509" s="1"/>
      <c r="F509" s="1"/>
      <c r="G509" s="1"/>
      <c r="H509" s="1"/>
      <c r="I509" s="1"/>
      <c r="J509" s="1"/>
      <c r="K509" s="15" t="s">
        <v>12</v>
      </c>
      <c r="L509" s="12"/>
      <c r="M509" s="67"/>
      <c r="N509" s="67"/>
      <c r="O509" s="67"/>
      <c r="P509" s="67"/>
      <c r="Q509" s="67"/>
      <c r="R509" s="67"/>
    </row>
    <row r="510" customFormat="false" ht="13.8" hidden="false" customHeight="false" outlineLevel="0" collapsed="false">
      <c r="A510" s="1"/>
      <c r="B510" s="1"/>
      <c r="C510" s="86" t="n">
        <f aca="false">C509+1</f>
        <v>2052</v>
      </c>
      <c r="D510" s="1"/>
      <c r="E510" s="1"/>
      <c r="F510" s="1"/>
      <c r="G510" s="1"/>
      <c r="H510" s="1"/>
      <c r="I510" s="1"/>
      <c r="J510" s="1"/>
      <c r="K510" s="15" t="s">
        <v>12</v>
      </c>
      <c r="L510" s="12"/>
      <c r="M510" s="67"/>
      <c r="N510" s="67"/>
      <c r="O510" s="67"/>
      <c r="P510" s="67"/>
      <c r="Q510" s="67"/>
      <c r="R510" s="67"/>
    </row>
    <row r="511" customFormat="false" ht="13.8" hidden="false" customHeight="false" outlineLevel="0" collapsed="false">
      <c r="A511" s="1"/>
      <c r="B511" s="1"/>
      <c r="C511" s="86" t="n">
        <f aca="false">C510+1</f>
        <v>2053</v>
      </c>
      <c r="D511" s="1"/>
      <c r="E511" s="1"/>
      <c r="F511" s="1"/>
      <c r="G511" s="1"/>
      <c r="H511" s="1"/>
      <c r="I511" s="1"/>
      <c r="J511" s="1"/>
      <c r="K511" s="15" t="s">
        <v>12</v>
      </c>
      <c r="L511" s="12"/>
      <c r="M511" s="67"/>
      <c r="N511" s="67"/>
      <c r="O511" s="67"/>
      <c r="P511" s="67"/>
      <c r="Q511" s="67"/>
      <c r="R511" s="67"/>
    </row>
    <row r="512" customFormat="false" ht="13.8" hidden="false" customHeight="false" outlineLevel="0" collapsed="false">
      <c r="A512" s="1"/>
      <c r="B512" s="1"/>
      <c r="C512" s="86" t="n">
        <f aca="false">C511+1</f>
        <v>2054</v>
      </c>
      <c r="D512" s="1"/>
      <c r="E512" s="1"/>
      <c r="F512" s="1"/>
      <c r="G512" s="1"/>
      <c r="H512" s="1"/>
      <c r="I512" s="1"/>
      <c r="J512" s="1"/>
      <c r="K512" s="15" t="s">
        <v>12</v>
      </c>
      <c r="L512" s="12"/>
      <c r="M512" s="67"/>
      <c r="N512" s="67"/>
      <c r="O512" s="67"/>
      <c r="P512" s="67"/>
      <c r="Q512" s="67"/>
      <c r="R512" s="67"/>
    </row>
    <row r="513" customFormat="false" ht="13.8" hidden="false" customHeight="false" outlineLevel="0" collapsed="false">
      <c r="A513" s="1"/>
      <c r="B513" s="1"/>
      <c r="C513" s="86" t="n">
        <f aca="false">C512+1</f>
        <v>2055</v>
      </c>
      <c r="D513" s="1"/>
      <c r="E513" s="1"/>
      <c r="F513" s="1"/>
      <c r="G513" s="1"/>
      <c r="H513" s="1"/>
      <c r="I513" s="1"/>
      <c r="J513" s="1"/>
      <c r="K513" s="15" t="s">
        <v>12</v>
      </c>
      <c r="L513" s="12"/>
      <c r="M513" s="67"/>
      <c r="N513" s="67"/>
      <c r="O513" s="67"/>
      <c r="P513" s="67"/>
      <c r="Q513" s="67"/>
      <c r="R513" s="67"/>
    </row>
    <row r="514" customFormat="false" ht="13.8" hidden="false" customHeight="false" outlineLevel="0" collapsed="false">
      <c r="A514" s="1"/>
      <c r="B514" s="1"/>
      <c r="C514" s="86" t="n">
        <f aca="false">C513+1</f>
        <v>2056</v>
      </c>
      <c r="D514" s="1"/>
      <c r="E514" s="1"/>
      <c r="F514" s="1"/>
      <c r="G514" s="1"/>
      <c r="H514" s="1"/>
      <c r="I514" s="1"/>
      <c r="J514" s="1"/>
      <c r="K514" s="15" t="s">
        <v>12</v>
      </c>
      <c r="L514" s="12"/>
      <c r="M514" s="67"/>
      <c r="N514" s="67"/>
      <c r="O514" s="67"/>
      <c r="P514" s="67"/>
      <c r="Q514" s="67"/>
      <c r="R514" s="67"/>
    </row>
    <row r="515" customFormat="false" ht="13.8" hidden="false" customHeight="false" outlineLevel="0" collapsed="false">
      <c r="A515" s="1"/>
      <c r="B515" s="1"/>
      <c r="C515" s="86" t="n">
        <f aca="false">C514+1</f>
        <v>2057</v>
      </c>
      <c r="D515" s="1"/>
      <c r="E515" s="1"/>
      <c r="F515" s="1"/>
      <c r="G515" s="1"/>
      <c r="H515" s="1"/>
      <c r="I515" s="1"/>
      <c r="J515" s="1"/>
      <c r="K515" s="15" t="s">
        <v>12</v>
      </c>
      <c r="L515" s="12"/>
      <c r="M515" s="67"/>
      <c r="N515" s="67"/>
      <c r="O515" s="67"/>
      <c r="P515" s="67"/>
      <c r="Q515" s="67"/>
      <c r="R515" s="67"/>
    </row>
    <row r="516" customFormat="false" ht="13.8" hidden="false" customHeight="false" outlineLevel="0" collapsed="false">
      <c r="A516" s="1"/>
      <c r="B516" s="1"/>
      <c r="C516" s="86" t="n">
        <f aca="false">C515+1</f>
        <v>2058</v>
      </c>
      <c r="D516" s="1"/>
      <c r="E516" s="1"/>
      <c r="F516" s="1"/>
      <c r="G516" s="1"/>
      <c r="H516" s="1"/>
      <c r="I516" s="1"/>
      <c r="J516" s="1"/>
      <c r="K516" s="15" t="s">
        <v>12</v>
      </c>
      <c r="L516" s="12"/>
      <c r="M516" s="67"/>
      <c r="N516" s="67"/>
      <c r="O516" s="67"/>
      <c r="P516" s="67"/>
      <c r="Q516" s="67"/>
      <c r="R516" s="67"/>
    </row>
    <row r="517" customFormat="false" ht="13.8" hidden="false" customHeight="false" outlineLevel="0" collapsed="false">
      <c r="A517" s="1"/>
      <c r="B517" s="1"/>
      <c r="C517" s="86" t="n">
        <f aca="false">C516+1</f>
        <v>2059</v>
      </c>
      <c r="D517" s="1"/>
      <c r="E517" s="1"/>
      <c r="F517" s="1"/>
      <c r="G517" s="1"/>
      <c r="H517" s="1"/>
      <c r="I517" s="1"/>
      <c r="J517" s="1"/>
      <c r="K517" s="15" t="s">
        <v>12</v>
      </c>
      <c r="L517" s="12"/>
      <c r="M517" s="67"/>
      <c r="N517" s="67"/>
      <c r="O517" s="67"/>
      <c r="P517" s="67"/>
      <c r="Q517" s="67"/>
      <c r="R517" s="67"/>
    </row>
    <row r="518" customFormat="false" ht="13.8" hidden="false" customHeight="false" outlineLevel="0" collapsed="false">
      <c r="A518" s="1"/>
      <c r="B518" s="1"/>
      <c r="C518" s="86" t="n">
        <f aca="false">C517+1</f>
        <v>2060</v>
      </c>
      <c r="D518" s="1"/>
      <c r="E518" s="1"/>
      <c r="F518" s="1"/>
      <c r="G518" s="1"/>
      <c r="H518" s="1"/>
      <c r="I518" s="1"/>
      <c r="J518" s="1"/>
      <c r="K518" s="15" t="s">
        <v>12</v>
      </c>
      <c r="L518" s="12"/>
      <c r="M518" s="67"/>
      <c r="N518" s="67"/>
      <c r="O518" s="67"/>
      <c r="P518" s="67"/>
      <c r="Q518" s="67"/>
      <c r="R518" s="67"/>
    </row>
    <row r="519" customFormat="false" ht="13.8" hidden="false" customHeight="false" outlineLevel="0" collapsed="false">
      <c r="A519" s="1"/>
      <c r="B519" s="1"/>
      <c r="C519" s="86" t="n">
        <f aca="false">C518+1</f>
        <v>2061</v>
      </c>
      <c r="D519" s="1"/>
      <c r="E519" s="1"/>
      <c r="F519" s="1"/>
      <c r="G519" s="1"/>
      <c r="H519" s="1"/>
      <c r="I519" s="1"/>
      <c r="J519" s="1"/>
      <c r="K519" s="15" t="s">
        <v>12</v>
      </c>
      <c r="L519" s="12"/>
      <c r="M519" s="67"/>
      <c r="N519" s="67"/>
      <c r="O519" s="67"/>
      <c r="P519" s="67"/>
      <c r="Q519" s="67"/>
      <c r="R519" s="67"/>
    </row>
    <row r="520" customFormat="false" ht="13.8" hidden="false" customHeight="false" outlineLevel="0" collapsed="false">
      <c r="A520" s="1"/>
      <c r="B520" s="1"/>
      <c r="C520" s="86" t="n">
        <f aca="false">C519+1</f>
        <v>2062</v>
      </c>
      <c r="D520" s="1"/>
      <c r="E520" s="1"/>
      <c r="F520" s="1"/>
      <c r="G520" s="1"/>
      <c r="H520" s="1"/>
      <c r="I520" s="1"/>
      <c r="J520" s="1"/>
      <c r="K520" s="15" t="s">
        <v>12</v>
      </c>
      <c r="L520" s="12"/>
      <c r="M520" s="67"/>
      <c r="N520" s="67"/>
      <c r="O520" s="67"/>
      <c r="P520" s="67"/>
      <c r="Q520" s="67"/>
      <c r="R520" s="67"/>
    </row>
    <row r="521" customFormat="false" ht="13.8" hidden="false" customHeight="false" outlineLevel="0" collapsed="false">
      <c r="A521" s="1"/>
      <c r="B521" s="1"/>
      <c r="C521" s="86" t="n">
        <f aca="false">C520+1</f>
        <v>2063</v>
      </c>
      <c r="D521" s="1"/>
      <c r="E521" s="1"/>
      <c r="F521" s="1"/>
      <c r="G521" s="1"/>
      <c r="H521" s="1"/>
      <c r="I521" s="1"/>
      <c r="J521" s="1"/>
      <c r="K521" s="15" t="s">
        <v>12</v>
      </c>
      <c r="L521" s="12"/>
      <c r="M521" s="67"/>
      <c r="N521" s="67"/>
      <c r="O521" s="67"/>
      <c r="P521" s="67"/>
      <c r="Q521" s="67"/>
      <c r="R521" s="67"/>
    </row>
    <row r="522" customFormat="false" ht="13.8" hidden="false" customHeight="false" outlineLevel="0" collapsed="false">
      <c r="A522" s="1"/>
      <c r="B522" s="1"/>
      <c r="C522" s="86" t="n">
        <f aca="false">C521+1</f>
        <v>2064</v>
      </c>
      <c r="D522" s="1"/>
      <c r="E522" s="1"/>
      <c r="F522" s="1"/>
      <c r="G522" s="1"/>
      <c r="H522" s="1"/>
      <c r="I522" s="1"/>
      <c r="J522" s="1"/>
      <c r="K522" s="15" t="s">
        <v>12</v>
      </c>
      <c r="L522" s="12"/>
      <c r="M522" s="67"/>
      <c r="N522" s="67"/>
      <c r="O522" s="67"/>
      <c r="P522" s="67"/>
      <c r="Q522" s="67"/>
      <c r="R522" s="67"/>
    </row>
    <row r="523" customFormat="false" ht="13.8" hidden="false" customHeight="false" outlineLevel="0" collapsed="false">
      <c r="A523" s="1"/>
      <c r="B523" s="1"/>
      <c r="C523" s="86" t="n">
        <f aca="false">C522+1</f>
        <v>2065</v>
      </c>
      <c r="D523" s="1"/>
      <c r="E523" s="1"/>
      <c r="F523" s="1"/>
      <c r="G523" s="1"/>
      <c r="H523" s="1"/>
      <c r="I523" s="1"/>
      <c r="J523" s="1"/>
      <c r="K523" s="15" t="s">
        <v>12</v>
      </c>
      <c r="L523" s="12"/>
      <c r="M523" s="67"/>
      <c r="N523" s="67"/>
      <c r="O523" s="67"/>
      <c r="P523" s="67"/>
      <c r="Q523" s="67"/>
      <c r="R523" s="67"/>
    </row>
    <row r="524" customFormat="false" ht="13.8" hidden="false" customHeight="false" outlineLevel="0" collapsed="false">
      <c r="A524" s="1"/>
      <c r="B524" s="1"/>
      <c r="C524" s="86" t="n">
        <f aca="false">C523+1</f>
        <v>2066</v>
      </c>
      <c r="D524" s="1"/>
      <c r="E524" s="1"/>
      <c r="F524" s="1"/>
      <c r="G524" s="1"/>
      <c r="H524" s="1"/>
      <c r="I524" s="1"/>
      <c r="J524" s="1"/>
      <c r="K524" s="15" t="s">
        <v>12</v>
      </c>
      <c r="L524" s="12"/>
      <c r="M524" s="67"/>
      <c r="N524" s="67"/>
      <c r="O524" s="67"/>
      <c r="P524" s="67"/>
      <c r="Q524" s="67"/>
      <c r="R524" s="67"/>
    </row>
    <row r="525" customFormat="false" ht="13.8" hidden="false" customHeight="false" outlineLevel="0" collapsed="false">
      <c r="A525" s="1"/>
      <c r="B525" s="1"/>
      <c r="C525" s="86" t="n">
        <f aca="false">C524+1</f>
        <v>2067</v>
      </c>
      <c r="D525" s="1"/>
      <c r="E525" s="1"/>
      <c r="F525" s="1"/>
      <c r="G525" s="1"/>
      <c r="H525" s="1"/>
      <c r="I525" s="1"/>
      <c r="J525" s="1"/>
      <c r="K525" s="15" t="s">
        <v>12</v>
      </c>
      <c r="L525" s="12"/>
      <c r="M525" s="67"/>
      <c r="N525" s="67"/>
      <c r="O525" s="67"/>
      <c r="P525" s="67"/>
      <c r="Q525" s="67"/>
      <c r="R525" s="67"/>
    </row>
    <row r="526" customFormat="false" ht="13.8" hidden="false" customHeight="false" outlineLevel="0" collapsed="false">
      <c r="A526" s="1"/>
      <c r="B526" s="1"/>
      <c r="C526" s="86" t="n">
        <f aca="false">C525+1</f>
        <v>2068</v>
      </c>
      <c r="D526" s="1"/>
      <c r="E526" s="1"/>
      <c r="F526" s="1"/>
      <c r="G526" s="1"/>
      <c r="H526" s="1"/>
      <c r="I526" s="1"/>
      <c r="J526" s="1"/>
      <c r="K526" s="15" t="s">
        <v>12</v>
      </c>
      <c r="L526" s="12"/>
      <c r="M526" s="67"/>
      <c r="N526" s="67"/>
      <c r="O526" s="67"/>
      <c r="P526" s="67"/>
      <c r="Q526" s="67"/>
      <c r="R526" s="67"/>
    </row>
    <row r="527" customFormat="false" ht="13.8" hidden="false" customHeight="false" outlineLevel="0" collapsed="false">
      <c r="A527" s="1"/>
      <c r="B527" s="1"/>
      <c r="C527" s="86" t="n">
        <f aca="false">C526+1</f>
        <v>2069</v>
      </c>
      <c r="D527" s="1"/>
      <c r="E527" s="1"/>
      <c r="F527" s="1"/>
      <c r="G527" s="1"/>
      <c r="H527" s="1"/>
      <c r="I527" s="1"/>
      <c r="J527" s="1"/>
      <c r="K527" s="15" t="s">
        <v>12</v>
      </c>
      <c r="L527" s="12"/>
      <c r="M527" s="67"/>
      <c r="N527" s="67"/>
      <c r="O527" s="67"/>
      <c r="P527" s="67"/>
      <c r="Q527" s="67"/>
      <c r="R527" s="67"/>
    </row>
    <row r="528" customFormat="false" ht="13.8" hidden="false" customHeight="false" outlineLevel="0" collapsed="false">
      <c r="A528" s="1"/>
      <c r="B528" s="1"/>
      <c r="C528" s="86" t="n">
        <f aca="false">C527+1</f>
        <v>2070</v>
      </c>
      <c r="D528" s="1"/>
      <c r="E528" s="1"/>
      <c r="F528" s="1"/>
      <c r="G528" s="1"/>
      <c r="H528" s="1"/>
      <c r="I528" s="1"/>
      <c r="J528" s="1"/>
      <c r="K528" s="15" t="s">
        <v>12</v>
      </c>
      <c r="L528" s="12"/>
      <c r="M528" s="67"/>
      <c r="N528" s="67"/>
      <c r="O528" s="67"/>
      <c r="P528" s="67"/>
      <c r="Q528" s="67"/>
      <c r="R528" s="67"/>
    </row>
    <row r="529" customFormat="false" ht="13.8" hidden="false" customHeight="false" outlineLevel="0" collapsed="false">
      <c r="A529" s="1"/>
      <c r="B529" s="1"/>
      <c r="C529" s="86" t="n">
        <f aca="false">C528+1</f>
        <v>2071</v>
      </c>
      <c r="D529" s="1"/>
      <c r="E529" s="1"/>
      <c r="F529" s="1"/>
      <c r="G529" s="1"/>
      <c r="H529" s="1"/>
      <c r="I529" s="1"/>
      <c r="J529" s="1"/>
      <c r="K529" s="15" t="s">
        <v>12</v>
      </c>
      <c r="L529" s="12"/>
      <c r="M529" s="67"/>
      <c r="N529" s="67"/>
      <c r="O529" s="67"/>
      <c r="P529" s="67"/>
      <c r="Q529" s="67"/>
      <c r="R529" s="67"/>
    </row>
    <row r="530" customFormat="false" ht="13.8" hidden="false" customHeight="false" outlineLevel="0" collapsed="false">
      <c r="A530" s="1"/>
      <c r="B530" s="1"/>
      <c r="C530" s="86" t="n">
        <f aca="false">C529+1</f>
        <v>2072</v>
      </c>
      <c r="D530" s="1"/>
      <c r="E530" s="1"/>
      <c r="F530" s="1"/>
      <c r="G530" s="1"/>
      <c r="H530" s="1"/>
      <c r="I530" s="1"/>
      <c r="J530" s="1"/>
      <c r="K530" s="15" t="s">
        <v>12</v>
      </c>
      <c r="L530" s="12"/>
      <c r="M530" s="67"/>
      <c r="N530" s="67"/>
      <c r="O530" s="67"/>
      <c r="P530" s="67"/>
      <c r="Q530" s="67"/>
      <c r="R530" s="67"/>
    </row>
    <row r="531" customFormat="false" ht="13.8" hidden="false" customHeight="false" outlineLevel="0" collapsed="false">
      <c r="A531" s="1"/>
      <c r="B531" s="1"/>
      <c r="C531" s="86" t="n">
        <f aca="false">C530+1</f>
        <v>2073</v>
      </c>
      <c r="D531" s="1"/>
      <c r="E531" s="1"/>
      <c r="F531" s="1"/>
      <c r="G531" s="1"/>
      <c r="H531" s="1"/>
      <c r="I531" s="1"/>
      <c r="J531" s="1"/>
      <c r="K531" s="15" t="s">
        <v>12</v>
      </c>
      <c r="L531" s="12"/>
      <c r="M531" s="67"/>
      <c r="N531" s="67"/>
      <c r="O531" s="67"/>
      <c r="P531" s="67"/>
      <c r="Q531" s="67"/>
      <c r="R531" s="67"/>
    </row>
    <row r="532" customFormat="false" ht="13.8" hidden="false" customHeight="false" outlineLevel="0" collapsed="false">
      <c r="A532" s="1"/>
      <c r="B532" s="1"/>
      <c r="C532" s="86" t="n">
        <f aca="false">C531+1</f>
        <v>2074</v>
      </c>
      <c r="D532" s="1"/>
      <c r="E532" s="1"/>
      <c r="F532" s="1"/>
      <c r="G532" s="1"/>
      <c r="H532" s="1"/>
      <c r="I532" s="1"/>
      <c r="J532" s="1"/>
      <c r="K532" s="15" t="s">
        <v>12</v>
      </c>
      <c r="L532" s="12"/>
      <c r="M532" s="67"/>
      <c r="N532" s="67"/>
      <c r="O532" s="67"/>
      <c r="P532" s="67"/>
      <c r="Q532" s="67"/>
      <c r="R532" s="67"/>
    </row>
    <row r="533" customFormat="false" ht="13.8" hidden="false" customHeight="false" outlineLevel="0" collapsed="false">
      <c r="A533" s="1"/>
      <c r="B533" s="1"/>
      <c r="C533" s="86" t="n">
        <f aca="false">C532+1</f>
        <v>2075</v>
      </c>
      <c r="D533" s="1"/>
      <c r="E533" s="1"/>
      <c r="F533" s="1"/>
      <c r="G533" s="1"/>
      <c r="H533" s="1"/>
      <c r="I533" s="1"/>
      <c r="J533" s="1"/>
      <c r="K533" s="15" t="s">
        <v>12</v>
      </c>
      <c r="L533" s="12"/>
      <c r="M533" s="67"/>
      <c r="N533" s="67"/>
      <c r="O533" s="67"/>
      <c r="P533" s="67"/>
      <c r="Q533" s="67"/>
      <c r="R533" s="67"/>
    </row>
    <row r="534" customFormat="false" ht="13.8" hidden="false" customHeight="false" outlineLevel="0" collapsed="false">
      <c r="A534" s="1"/>
      <c r="B534" s="1"/>
      <c r="C534" s="1"/>
      <c r="D534" s="1"/>
      <c r="E534" s="1"/>
      <c r="F534" s="1"/>
      <c r="G534" s="1"/>
      <c r="H534" s="1"/>
      <c r="I534" s="1"/>
      <c r="J534" s="1"/>
      <c r="K534" s="1"/>
      <c r="L534" s="12"/>
      <c r="M534" s="1"/>
      <c r="N534" s="1"/>
      <c r="O534" s="1"/>
      <c r="P534" s="1"/>
      <c r="Q534" s="1"/>
      <c r="R534" s="1"/>
    </row>
    <row r="535" customFormat="false" ht="13.8" hidden="false" customHeight="false" outlineLevel="0" collapsed="false">
      <c r="B535" s="11" t="n">
        <f aca="false">B479+1</f>
        <v>12</v>
      </c>
      <c r="C535" s="11" t="s">
        <v>438</v>
      </c>
      <c r="D535" s="11"/>
      <c r="E535" s="11"/>
      <c r="F535" s="11"/>
      <c r="G535" s="11"/>
      <c r="H535" s="11"/>
      <c r="I535" s="11"/>
      <c r="J535" s="11"/>
      <c r="K535" s="11"/>
      <c r="L535" s="11"/>
      <c r="M535" s="11"/>
      <c r="N535" s="11"/>
      <c r="O535" s="11"/>
      <c r="P535" s="11"/>
      <c r="Q535" s="11"/>
      <c r="R535" s="11"/>
    </row>
    <row r="536" customFormat="false" ht="13.8" hidden="false" customHeight="false" outlineLevel="0" collapsed="false">
      <c r="L536" s="12"/>
    </row>
    <row r="537" customFormat="false" ht="13.8" hidden="false" customHeight="false" outlineLevel="0" collapsed="false">
      <c r="C537" s="6" t="s">
        <v>438</v>
      </c>
      <c r="D537" s="1"/>
      <c r="E537" s="1"/>
      <c r="F537" s="1"/>
      <c r="G537" s="1"/>
      <c r="H537" s="1"/>
      <c r="I537" s="1"/>
      <c r="J537" s="1"/>
      <c r="K537" s="1"/>
      <c r="L537" s="12"/>
      <c r="M537" s="1"/>
      <c r="N537" s="1"/>
      <c r="O537" s="1"/>
      <c r="P537" s="1"/>
      <c r="Q537" s="1"/>
      <c r="R537" s="1"/>
    </row>
    <row r="538" customFormat="false" ht="14.9" hidden="false" customHeight="false" outlineLevel="0" collapsed="false">
      <c r="A538" s="1"/>
      <c r="C538" s="5" t="s">
        <v>439</v>
      </c>
      <c r="K538" s="15" t="s">
        <v>109</v>
      </c>
      <c r="L538" s="12"/>
      <c r="M538" s="63"/>
      <c r="N538" s="63" t="b">
        <f aca="false">FALSE()</f>
        <v>0</v>
      </c>
      <c r="O538" s="63"/>
      <c r="P538" s="63" t="b">
        <f aca="false">FALSE()</f>
        <v>0</v>
      </c>
      <c r="Q538" s="63" t="b">
        <f aca="false">FALSE()</f>
        <v>0</v>
      </c>
      <c r="R538" s="63" t="b">
        <f aca="false">FALSE()</f>
        <v>0</v>
      </c>
    </row>
    <row r="539" customFormat="false" ht="13.8" hidden="false" customHeight="false" outlineLevel="0" collapsed="false">
      <c r="C539" s="1" t="s">
        <v>440</v>
      </c>
      <c r="D539" s="1"/>
      <c r="E539" s="1"/>
      <c r="I539" s="1"/>
      <c r="J539" s="1"/>
      <c r="K539" s="15" t="s">
        <v>441</v>
      </c>
      <c r="L539" s="12"/>
      <c r="M539" s="85"/>
      <c r="N539" s="85"/>
      <c r="O539" s="85"/>
      <c r="P539" s="85"/>
      <c r="Q539" s="85"/>
      <c r="R539" s="85"/>
    </row>
    <row r="540" customFormat="false" ht="13.8" hidden="false" customHeight="false" outlineLevel="0" collapsed="false">
      <c r="C540" s="1" t="s">
        <v>442</v>
      </c>
      <c r="K540" s="15" t="s">
        <v>12</v>
      </c>
      <c r="L540" s="90"/>
      <c r="M540" s="64"/>
      <c r="N540" s="64"/>
      <c r="O540" s="64"/>
      <c r="P540" s="64"/>
      <c r="Q540" s="64"/>
      <c r="R540" s="64"/>
    </row>
    <row r="541" customFormat="false" ht="13.8" hidden="false" customHeight="false" outlineLevel="0" collapsed="false">
      <c r="C541" s="1" t="s">
        <v>443</v>
      </c>
      <c r="K541" s="15" t="s">
        <v>12</v>
      </c>
      <c r="L541" s="90"/>
      <c r="M541" s="64"/>
      <c r="N541" s="64"/>
      <c r="O541" s="64"/>
      <c r="P541" s="64"/>
      <c r="Q541" s="64"/>
      <c r="R541" s="64"/>
    </row>
    <row r="542" customFormat="false" ht="13.8" hidden="false" customHeight="false" outlineLevel="0" collapsed="false">
      <c r="C542" s="1" t="s">
        <v>444</v>
      </c>
      <c r="K542" s="15" t="s">
        <v>12</v>
      </c>
      <c r="L542" s="90"/>
      <c r="M542" s="64"/>
      <c r="N542" s="64"/>
      <c r="O542" s="64"/>
      <c r="P542" s="64"/>
      <c r="Q542" s="64"/>
      <c r="R542" s="64"/>
    </row>
    <row r="543" customFormat="false" ht="13.8" hidden="false" customHeight="false" outlineLevel="0" collapsed="false">
      <c r="C543" s="1" t="s">
        <v>445</v>
      </c>
      <c r="K543" s="15" t="s">
        <v>12</v>
      </c>
      <c r="L543" s="90"/>
      <c r="M543" s="64"/>
      <c r="N543" s="64"/>
      <c r="O543" s="64"/>
      <c r="P543" s="64"/>
      <c r="Q543" s="64"/>
      <c r="R543" s="64"/>
    </row>
    <row r="544" customFormat="false" ht="13.8" hidden="false" customHeight="false" outlineLevel="0" collapsed="false">
      <c r="C544" s="1" t="s">
        <v>446</v>
      </c>
      <c r="K544" s="15" t="s">
        <v>12</v>
      </c>
      <c r="L544" s="90"/>
      <c r="M544" s="64"/>
      <c r="N544" s="64"/>
      <c r="O544" s="64"/>
      <c r="P544" s="64"/>
      <c r="Q544" s="64"/>
      <c r="R544" s="64"/>
    </row>
    <row r="545" customFormat="false" ht="13.8" hidden="false" customHeight="false" outlineLevel="0" collapsed="false">
      <c r="C545" s="1" t="s">
        <v>447</v>
      </c>
      <c r="D545" s="1"/>
      <c r="E545" s="1"/>
      <c r="F545" s="1"/>
      <c r="G545" s="1"/>
      <c r="H545" s="1"/>
      <c r="I545" s="1"/>
      <c r="J545" s="1"/>
      <c r="K545" s="15" t="s">
        <v>12</v>
      </c>
      <c r="L545" s="12"/>
      <c r="M545" s="64"/>
      <c r="N545" s="64"/>
      <c r="O545" s="64"/>
      <c r="P545" s="64"/>
      <c r="Q545" s="64"/>
      <c r="R545" s="64"/>
    </row>
    <row r="546" customFormat="false" ht="13.8" hidden="false" customHeight="false" outlineLevel="0" collapsed="false">
      <c r="C546" s="1" t="s">
        <v>448</v>
      </c>
      <c r="K546" s="15" t="s">
        <v>12</v>
      </c>
      <c r="L546" s="90"/>
      <c r="M546" s="64"/>
      <c r="N546" s="64"/>
      <c r="O546" s="64"/>
      <c r="P546" s="64"/>
      <c r="Q546" s="64"/>
      <c r="R546" s="64"/>
    </row>
    <row r="547" customFormat="false" ht="13.8" hidden="false" customHeight="false" outlineLevel="0" collapsed="false">
      <c r="C547" s="1" t="s">
        <v>449</v>
      </c>
      <c r="K547" s="15" t="s">
        <v>12</v>
      </c>
      <c r="L547" s="90"/>
      <c r="M547" s="64"/>
      <c r="N547" s="64"/>
      <c r="O547" s="64"/>
      <c r="P547" s="64"/>
      <c r="Q547" s="64"/>
      <c r="R547" s="64"/>
    </row>
    <row r="548" customFormat="false" ht="13.8" hidden="false" customHeight="false" outlineLevel="0" collapsed="false">
      <c r="C548" s="1" t="s">
        <v>450</v>
      </c>
      <c r="K548" s="15" t="s">
        <v>12</v>
      </c>
      <c r="L548" s="90"/>
      <c r="M548" s="64"/>
      <c r="N548" s="64"/>
      <c r="O548" s="64"/>
      <c r="P548" s="64"/>
      <c r="Q548" s="64"/>
      <c r="R548" s="64"/>
    </row>
    <row r="549" customFormat="false" ht="13.8" hidden="false" customHeight="false" outlineLevel="0" collapsed="false">
      <c r="C549" s="1" t="s">
        <v>451</v>
      </c>
      <c r="K549" s="15" t="s">
        <v>12</v>
      </c>
      <c r="L549" s="90"/>
      <c r="M549" s="64"/>
      <c r="N549" s="64"/>
      <c r="O549" s="64"/>
      <c r="P549" s="64"/>
      <c r="Q549" s="64"/>
      <c r="R549" s="64"/>
    </row>
    <row r="550" customFormat="false" ht="13.8" hidden="false" customHeight="false" outlineLevel="0" collapsed="false">
      <c r="C550" s="1"/>
      <c r="D550" s="1"/>
      <c r="E550" s="1"/>
      <c r="F550" s="1"/>
      <c r="G550" s="1"/>
      <c r="H550" s="1"/>
      <c r="I550" s="1"/>
      <c r="J550" s="1"/>
      <c r="K550" s="1"/>
      <c r="L550" s="12"/>
    </row>
    <row r="551" customFormat="false" ht="13.8" hidden="false" customHeight="false" outlineLevel="0" collapsed="false">
      <c r="C551" s="104" t="s">
        <v>357</v>
      </c>
      <c r="D551" s="1"/>
      <c r="E551" s="1"/>
      <c r="F551" s="1"/>
      <c r="G551" s="1"/>
      <c r="H551" s="1"/>
      <c r="I551" s="1"/>
      <c r="J551" s="1"/>
      <c r="K551" s="1"/>
      <c r="L551" s="12"/>
      <c r="M551" s="1"/>
      <c r="N551" s="1"/>
      <c r="O551" s="1"/>
      <c r="P551" s="1"/>
      <c r="Q551" s="1"/>
      <c r="R551" s="1"/>
    </row>
    <row r="552" customFormat="false" ht="13.8" hidden="false" customHeight="false" outlineLevel="0" collapsed="false">
      <c r="C552" s="14" t="s">
        <v>452</v>
      </c>
      <c r="D552" s="113"/>
      <c r="E552" s="113"/>
      <c r="F552" s="113"/>
      <c r="G552" s="113"/>
      <c r="H552" s="113"/>
      <c r="I552" s="113"/>
      <c r="J552" s="113"/>
      <c r="K552" s="113"/>
      <c r="L552" s="114"/>
      <c r="M552" s="113"/>
      <c r="N552" s="113"/>
      <c r="O552" s="113"/>
      <c r="P552" s="113"/>
      <c r="Q552" s="113"/>
      <c r="R552" s="113"/>
    </row>
    <row r="553" customFormat="false" ht="13.8" hidden="false" customHeight="false" outlineLevel="0" collapsed="false">
      <c r="C553" s="1" t="s">
        <v>453</v>
      </c>
      <c r="D553" s="1"/>
      <c r="E553" s="1"/>
      <c r="F553" s="1"/>
      <c r="G553" s="1"/>
      <c r="H553" s="1"/>
      <c r="I553" s="1"/>
      <c r="J553" s="1"/>
      <c r="K553" s="15" t="s">
        <v>377</v>
      </c>
      <c r="L553" s="12"/>
      <c r="M553" s="67"/>
      <c r="N553" s="67"/>
      <c r="O553" s="67"/>
      <c r="P553" s="67"/>
      <c r="Q553" s="67"/>
      <c r="R553" s="67"/>
    </row>
    <row r="554" customFormat="false" ht="13.8" hidden="false" customHeight="false" outlineLevel="0" collapsed="false">
      <c r="C554" s="1" t="s">
        <v>454</v>
      </c>
      <c r="D554" s="1"/>
      <c r="E554" s="1"/>
      <c r="F554" s="1"/>
      <c r="G554" s="1"/>
      <c r="H554" s="1"/>
      <c r="I554" s="1"/>
      <c r="J554" s="1"/>
      <c r="K554" s="15" t="s">
        <v>377</v>
      </c>
      <c r="L554" s="12"/>
      <c r="M554" s="67"/>
      <c r="N554" s="67"/>
      <c r="O554" s="67"/>
      <c r="P554" s="67"/>
      <c r="Q554" s="67"/>
      <c r="R554" s="67"/>
    </row>
    <row r="555" customFormat="false" ht="13.8" hidden="false" customHeight="false" outlineLevel="0" collapsed="false">
      <c r="C555" s="1"/>
      <c r="D555" s="1"/>
      <c r="E555" s="1"/>
      <c r="F555" s="1"/>
      <c r="G555" s="1"/>
      <c r="H555" s="1"/>
      <c r="I555" s="1"/>
      <c r="J555" s="1"/>
      <c r="K555" s="1"/>
      <c r="L555" s="12"/>
    </row>
    <row r="556" customFormat="false" ht="13.8" hidden="false" customHeight="false" outlineLevel="0" collapsed="false">
      <c r="C556" s="115" t="s">
        <v>455</v>
      </c>
      <c r="D556" s="113"/>
      <c r="E556" s="113"/>
      <c r="F556" s="113"/>
      <c r="G556" s="113"/>
      <c r="H556" s="113"/>
      <c r="I556" s="113"/>
      <c r="J556" s="113"/>
      <c r="K556" s="113"/>
      <c r="L556" s="114"/>
      <c r="M556" s="113"/>
      <c r="N556" s="113"/>
      <c r="O556" s="113"/>
      <c r="P556" s="113"/>
      <c r="Q556" s="113"/>
      <c r="R556" s="113"/>
    </row>
    <row r="557" customFormat="false" ht="13.8" hidden="false" customHeight="false" outlineLevel="0" collapsed="false">
      <c r="C557" s="1" t="s">
        <v>453</v>
      </c>
      <c r="D557" s="1"/>
      <c r="E557" s="1"/>
      <c r="F557" s="1"/>
      <c r="G557" s="1"/>
      <c r="H557" s="1"/>
      <c r="I557" s="1"/>
      <c r="J557" s="1"/>
      <c r="K557" s="15" t="s">
        <v>12</v>
      </c>
      <c r="L557" s="12"/>
      <c r="M557" s="67"/>
      <c r="N557" s="67"/>
      <c r="O557" s="67"/>
      <c r="P557" s="67"/>
      <c r="Q557" s="67"/>
      <c r="R557" s="67"/>
    </row>
    <row r="558" customFormat="false" ht="13.8" hidden="false" customHeight="false" outlineLevel="0" collapsed="false">
      <c r="C558" s="1" t="s">
        <v>454</v>
      </c>
      <c r="D558" s="1"/>
      <c r="E558" s="1"/>
      <c r="F558" s="1"/>
      <c r="G558" s="1"/>
      <c r="H558" s="1"/>
      <c r="I558" s="1"/>
      <c r="J558" s="1"/>
      <c r="K558" s="15" t="s">
        <v>12</v>
      </c>
      <c r="L558" s="12"/>
      <c r="M558" s="67"/>
      <c r="N558" s="67"/>
      <c r="O558" s="67"/>
      <c r="P558" s="67"/>
      <c r="Q558" s="67"/>
      <c r="R558" s="67"/>
    </row>
    <row r="559" customFormat="false" ht="13.8" hidden="false" customHeight="false" outlineLevel="0" collapsed="false">
      <c r="C559" s="1" t="s">
        <v>456</v>
      </c>
      <c r="D559" s="1"/>
      <c r="E559" s="1"/>
      <c r="F559" s="1"/>
      <c r="G559" s="1"/>
      <c r="H559" s="1"/>
      <c r="I559" s="1"/>
      <c r="J559" s="1"/>
      <c r="K559" s="15" t="s">
        <v>12</v>
      </c>
      <c r="L559" s="12"/>
      <c r="M559" s="67"/>
      <c r="N559" s="67"/>
      <c r="O559" s="67"/>
      <c r="P559" s="67"/>
      <c r="Q559" s="67"/>
      <c r="R559" s="67"/>
    </row>
    <row r="560" customFormat="false" ht="13.8" hidden="false" customHeight="false" outlineLevel="0" collapsed="false">
      <c r="C560" s="1" t="s">
        <v>457</v>
      </c>
      <c r="D560" s="1"/>
      <c r="E560" s="1"/>
      <c r="F560" s="1"/>
      <c r="G560" s="1"/>
      <c r="H560" s="1"/>
      <c r="I560" s="1"/>
      <c r="J560" s="1"/>
      <c r="K560" s="15" t="s">
        <v>12</v>
      </c>
      <c r="L560" s="12"/>
      <c r="M560" s="67"/>
      <c r="N560" s="67"/>
      <c r="O560" s="67"/>
      <c r="P560" s="67"/>
      <c r="Q560" s="67"/>
      <c r="R560" s="67"/>
    </row>
    <row r="561" customFormat="false" ht="13.8" hidden="false" customHeight="false" outlineLevel="0" collapsed="false">
      <c r="C561" s="1" t="s">
        <v>458</v>
      </c>
      <c r="D561" s="1"/>
      <c r="E561" s="1"/>
      <c r="F561" s="1"/>
      <c r="G561" s="1"/>
      <c r="H561" s="1"/>
      <c r="I561" s="1"/>
      <c r="J561" s="1"/>
      <c r="K561" s="15" t="s">
        <v>12</v>
      </c>
      <c r="L561" s="12"/>
      <c r="M561" s="67"/>
      <c r="N561" s="67"/>
      <c r="O561" s="67"/>
      <c r="P561" s="67"/>
      <c r="Q561" s="67"/>
      <c r="R561" s="67"/>
    </row>
    <row r="562" customFormat="false" ht="13.8" hidden="false" customHeight="false" outlineLevel="0" collapsed="false">
      <c r="C562" s="1" t="s">
        <v>459</v>
      </c>
      <c r="D562" s="1"/>
      <c r="E562" s="1"/>
      <c r="F562" s="1"/>
      <c r="G562" s="1"/>
      <c r="H562" s="1"/>
      <c r="I562" s="1"/>
      <c r="J562" s="1"/>
      <c r="K562" s="15" t="s">
        <v>12</v>
      </c>
      <c r="L562" s="12"/>
      <c r="M562" s="67"/>
      <c r="N562" s="67"/>
      <c r="O562" s="67"/>
      <c r="P562" s="67"/>
      <c r="Q562" s="67"/>
      <c r="R562" s="67"/>
    </row>
    <row r="563" customFormat="false" ht="13.8" hidden="false" customHeight="false" outlineLevel="0" collapsed="false">
      <c r="C563" s="1" t="s">
        <v>59</v>
      </c>
      <c r="D563" s="1"/>
      <c r="E563" s="1"/>
      <c r="F563" s="1"/>
      <c r="G563" s="1"/>
      <c r="H563" s="1"/>
      <c r="I563" s="1"/>
      <c r="J563" s="1"/>
      <c r="K563" s="15" t="s">
        <v>12</v>
      </c>
      <c r="L563" s="12"/>
      <c r="M563" s="67"/>
      <c r="N563" s="67"/>
      <c r="O563" s="67"/>
      <c r="P563" s="67"/>
      <c r="Q563" s="67"/>
      <c r="R563" s="67"/>
    </row>
    <row r="564" customFormat="false" ht="13.8" hidden="false" customHeight="false" outlineLevel="0" collapsed="false">
      <c r="C564" s="1" t="s">
        <v>436</v>
      </c>
      <c r="D564" s="1"/>
      <c r="E564" s="1"/>
      <c r="F564" s="1"/>
      <c r="G564" s="1"/>
      <c r="H564" s="1"/>
      <c r="I564" s="1"/>
      <c r="J564" s="1"/>
      <c r="K564" s="15" t="s">
        <v>12</v>
      </c>
      <c r="L564" s="12"/>
      <c r="M564" s="67"/>
      <c r="N564" s="67"/>
      <c r="O564" s="67"/>
      <c r="P564" s="67"/>
      <c r="Q564" s="67"/>
      <c r="R564" s="67"/>
    </row>
    <row r="565" customFormat="false" ht="13.8" hidden="false" customHeight="false" outlineLevel="0" collapsed="false">
      <c r="C565" s="1" t="s">
        <v>460</v>
      </c>
      <c r="D565" s="1"/>
      <c r="E565" s="1"/>
      <c r="F565" s="1"/>
      <c r="G565" s="1"/>
      <c r="H565" s="1"/>
      <c r="I565" s="1"/>
      <c r="J565" s="1"/>
      <c r="K565" s="15" t="s">
        <v>12</v>
      </c>
      <c r="L565" s="12"/>
      <c r="M565" s="67"/>
      <c r="N565" s="67"/>
      <c r="O565" s="67"/>
      <c r="P565" s="67"/>
      <c r="Q565" s="67"/>
      <c r="R565" s="67"/>
    </row>
    <row r="566" customFormat="false" ht="13.8" hidden="false" customHeight="false" outlineLevel="0" collapsed="false">
      <c r="C566" s="1" t="s">
        <v>461</v>
      </c>
      <c r="D566" s="1"/>
      <c r="E566" s="1"/>
      <c r="F566" s="1"/>
      <c r="G566" s="1"/>
      <c r="H566" s="1"/>
      <c r="I566" s="1"/>
      <c r="J566" s="1"/>
      <c r="K566" s="15" t="s">
        <v>12</v>
      </c>
      <c r="L566" s="12"/>
      <c r="M566" s="67"/>
      <c r="N566" s="67"/>
      <c r="O566" s="67"/>
      <c r="P566" s="67"/>
      <c r="Q566" s="67"/>
      <c r="R566" s="67"/>
    </row>
    <row r="567" customFormat="false" ht="13.8" hidden="false" customHeight="false" outlineLevel="0" collapsed="false">
      <c r="C567" s="116" t="s">
        <v>462</v>
      </c>
      <c r="D567" s="117"/>
      <c r="E567" s="117"/>
      <c r="F567" s="117"/>
      <c r="G567" s="117"/>
      <c r="H567" s="117"/>
      <c r="I567" s="117"/>
      <c r="J567" s="117"/>
      <c r="K567" s="118" t="s">
        <v>12</v>
      </c>
      <c r="L567" s="119"/>
      <c r="M567" s="120" t="n">
        <f aca="false">SUM(M557:M566)</f>
        <v>0</v>
      </c>
      <c r="N567" s="120" t="n">
        <f aca="false">SUM(N557:N566)</f>
        <v>0</v>
      </c>
      <c r="O567" s="120"/>
      <c r="P567" s="120" t="n">
        <f aca="false">SUM(P557:P566)</f>
        <v>0</v>
      </c>
      <c r="Q567" s="120" t="n">
        <f aca="false">SUM(Q557:Q566)</f>
        <v>0</v>
      </c>
      <c r="R567" s="120" t="n">
        <f aca="false">SUM(R557:R566)</f>
        <v>0</v>
      </c>
    </row>
    <row r="568" customFormat="false" ht="13.8" hidden="false" customHeight="false" outlineLevel="0" collapsed="false">
      <c r="C568" s="1"/>
      <c r="D568" s="1"/>
      <c r="E568" s="1"/>
      <c r="F568" s="1"/>
      <c r="G568" s="1"/>
      <c r="H568" s="1"/>
      <c r="I568" s="1"/>
      <c r="J568" s="1"/>
      <c r="K568" s="1"/>
      <c r="L568" s="12"/>
    </row>
    <row r="569" customFormat="false" ht="13.8" hidden="false" customHeight="false" outlineLevel="0" collapsed="false">
      <c r="C569" s="104" t="s">
        <v>463</v>
      </c>
      <c r="D569" s="1"/>
      <c r="E569" s="1"/>
      <c r="F569" s="1"/>
      <c r="G569" s="1"/>
      <c r="H569" s="1"/>
      <c r="I569" s="1"/>
      <c r="J569" s="1"/>
      <c r="K569" s="1"/>
      <c r="L569" s="12"/>
      <c r="M569" s="1"/>
      <c r="N569" s="1"/>
      <c r="O569" s="1"/>
      <c r="P569" s="1"/>
      <c r="Q569" s="1"/>
      <c r="R569" s="1"/>
    </row>
    <row r="570" customFormat="false" ht="13.8" hidden="false" customHeight="false" outlineLevel="0" collapsed="false">
      <c r="C570" s="1" t="s">
        <v>13</v>
      </c>
      <c r="D570" s="1"/>
      <c r="E570" s="1"/>
      <c r="F570" s="1"/>
      <c r="G570" s="1"/>
      <c r="H570" s="1"/>
      <c r="I570" s="1"/>
      <c r="J570" s="1"/>
      <c r="K570" s="15" t="s">
        <v>12</v>
      </c>
      <c r="L570" s="12"/>
      <c r="M570" s="121"/>
      <c r="N570" s="121"/>
      <c r="O570" s="121"/>
      <c r="P570" s="121"/>
      <c r="Q570" s="121"/>
      <c r="R570" s="121"/>
    </row>
    <row r="571" customFormat="false" ht="13.8" hidden="false" customHeight="false" outlineLevel="0" collapsed="false">
      <c r="C571" s="1" t="s">
        <v>464</v>
      </c>
      <c r="D571" s="1"/>
      <c r="E571" s="1"/>
      <c r="F571" s="1"/>
      <c r="G571" s="1"/>
      <c r="H571" s="1"/>
      <c r="I571" s="1"/>
      <c r="J571" s="1"/>
      <c r="K571" s="15" t="s">
        <v>12</v>
      </c>
      <c r="L571" s="12"/>
      <c r="M571" s="67"/>
      <c r="N571" s="67"/>
      <c r="O571" s="67"/>
      <c r="P571" s="67"/>
      <c r="Q571" s="67"/>
      <c r="R571" s="67"/>
    </row>
    <row r="572" customFormat="false" ht="13.8" hidden="false" customHeight="false" outlineLevel="0" collapsed="false">
      <c r="C572" s="1" t="s">
        <v>465</v>
      </c>
      <c r="D572" s="1"/>
      <c r="E572" s="1"/>
      <c r="F572" s="1"/>
      <c r="G572" s="1"/>
      <c r="H572" s="1"/>
      <c r="I572" s="1"/>
      <c r="J572" s="1"/>
      <c r="K572" s="15" t="s">
        <v>12</v>
      </c>
      <c r="L572" s="12"/>
      <c r="M572" s="67"/>
      <c r="N572" s="67"/>
      <c r="O572" s="67"/>
      <c r="P572" s="67"/>
      <c r="Q572" s="67"/>
      <c r="R572" s="67"/>
    </row>
    <row r="573" customFormat="false" ht="13.8" hidden="false" customHeight="false" outlineLevel="0" collapsed="false">
      <c r="C573" s="1" t="s">
        <v>466</v>
      </c>
      <c r="D573" s="1"/>
      <c r="E573" s="1"/>
      <c r="F573" s="1"/>
      <c r="G573" s="1"/>
      <c r="H573" s="1"/>
      <c r="I573" s="1"/>
      <c r="J573" s="1"/>
      <c r="K573" s="15" t="s">
        <v>12</v>
      </c>
      <c r="L573" s="12"/>
      <c r="M573" s="67"/>
      <c r="N573" s="67"/>
      <c r="O573" s="67"/>
      <c r="P573" s="67"/>
      <c r="Q573" s="67"/>
      <c r="R573" s="67"/>
    </row>
    <row r="574" customFormat="false" ht="13.8" hidden="false" customHeight="false" outlineLevel="0" collapsed="false">
      <c r="C574" s="1" t="s">
        <v>379</v>
      </c>
      <c r="D574" s="1"/>
      <c r="E574" s="1"/>
      <c r="F574" s="1"/>
      <c r="G574" s="1"/>
      <c r="H574" s="1"/>
      <c r="I574" s="1"/>
      <c r="J574" s="1"/>
      <c r="K574" s="15" t="s">
        <v>12</v>
      </c>
      <c r="L574" s="12"/>
      <c r="M574" s="67"/>
      <c r="N574" s="67"/>
      <c r="O574" s="67"/>
      <c r="P574" s="67"/>
      <c r="Q574" s="67"/>
      <c r="R574" s="67"/>
    </row>
    <row r="575" customFormat="false" ht="13.8" hidden="false" customHeight="false" outlineLevel="0" collapsed="false">
      <c r="C575" s="1" t="s">
        <v>467</v>
      </c>
      <c r="D575" s="1"/>
      <c r="E575" s="1"/>
      <c r="F575" s="1"/>
      <c r="G575" s="1"/>
      <c r="H575" s="1"/>
      <c r="I575" s="1"/>
      <c r="J575" s="1"/>
      <c r="K575" s="15" t="s">
        <v>12</v>
      </c>
      <c r="L575" s="12"/>
      <c r="M575" s="67"/>
      <c r="N575" s="67"/>
      <c r="O575" s="67"/>
      <c r="P575" s="67"/>
      <c r="Q575" s="67"/>
      <c r="R575" s="67"/>
    </row>
    <row r="576" customFormat="false" ht="13.8" hidden="false" customHeight="false" outlineLevel="0" collapsed="false">
      <c r="C576" s="1" t="s">
        <v>18</v>
      </c>
      <c r="D576" s="1"/>
      <c r="E576" s="1"/>
      <c r="F576" s="1"/>
      <c r="G576" s="1"/>
      <c r="H576" s="1"/>
      <c r="I576" s="1"/>
      <c r="J576" s="1"/>
      <c r="K576" s="15" t="s">
        <v>12</v>
      </c>
      <c r="L576" s="12"/>
      <c r="M576" s="67"/>
      <c r="N576" s="67"/>
      <c r="O576" s="67"/>
      <c r="P576" s="67"/>
      <c r="Q576" s="67"/>
      <c r="R576" s="67"/>
    </row>
    <row r="577" customFormat="false" ht="13.8" hidden="false" customHeight="false" outlineLevel="0" collapsed="false">
      <c r="C577" s="1" t="s">
        <v>468</v>
      </c>
      <c r="D577" s="1"/>
      <c r="E577" s="1"/>
      <c r="F577" s="1"/>
      <c r="G577" s="1"/>
      <c r="H577" s="1"/>
      <c r="I577" s="1"/>
      <c r="J577" s="1"/>
      <c r="K577" s="15" t="s">
        <v>12</v>
      </c>
      <c r="L577" s="12"/>
      <c r="M577" s="67"/>
      <c r="N577" s="67"/>
      <c r="O577" s="67"/>
      <c r="P577" s="67"/>
      <c r="Q577" s="67"/>
      <c r="R577" s="67"/>
    </row>
    <row r="578" customFormat="false" ht="13.8" hidden="false" customHeight="false" outlineLevel="0" collapsed="false">
      <c r="C578" s="1" t="s">
        <v>54</v>
      </c>
      <c r="D578" s="1"/>
      <c r="E578" s="1"/>
      <c r="F578" s="1"/>
      <c r="G578" s="1"/>
      <c r="H578" s="1"/>
      <c r="I578" s="1"/>
      <c r="J578" s="1"/>
      <c r="K578" s="15" t="s">
        <v>12</v>
      </c>
      <c r="L578" s="12"/>
      <c r="M578" s="67"/>
      <c r="N578" s="67"/>
      <c r="O578" s="67"/>
      <c r="P578" s="67"/>
      <c r="Q578" s="67"/>
      <c r="R578" s="67"/>
    </row>
    <row r="579" customFormat="false" ht="13.8" hidden="false" customHeight="false" outlineLevel="0" collapsed="false">
      <c r="C579" s="1" t="s">
        <v>469</v>
      </c>
      <c r="D579" s="1"/>
      <c r="E579" s="1"/>
      <c r="F579" s="1"/>
      <c r="G579" s="1"/>
      <c r="H579" s="1"/>
      <c r="I579" s="1"/>
      <c r="J579" s="1"/>
      <c r="K579" s="15" t="s">
        <v>12</v>
      </c>
      <c r="L579" s="12"/>
      <c r="M579" s="67"/>
      <c r="N579" s="67"/>
      <c r="O579" s="67"/>
      <c r="P579" s="67"/>
      <c r="Q579" s="67"/>
      <c r="R579" s="67"/>
    </row>
    <row r="580" customFormat="false" ht="13.8" hidden="false" customHeight="false" outlineLevel="0" collapsed="false">
      <c r="C580" s="1" t="s">
        <v>58</v>
      </c>
      <c r="D580" s="1"/>
      <c r="E580" s="1"/>
      <c r="F580" s="1"/>
      <c r="G580" s="1"/>
      <c r="H580" s="1"/>
      <c r="I580" s="1"/>
      <c r="J580" s="1"/>
      <c r="K580" s="15" t="s">
        <v>12</v>
      </c>
      <c r="L580" s="12"/>
      <c r="M580" s="67"/>
      <c r="N580" s="67"/>
      <c r="O580" s="67"/>
      <c r="P580" s="67"/>
      <c r="Q580" s="67"/>
      <c r="R580" s="67"/>
    </row>
    <row r="581" customFormat="false" ht="13.8" hidden="false" customHeight="false" outlineLevel="0" collapsed="false">
      <c r="C581" s="1" t="s">
        <v>470</v>
      </c>
      <c r="D581" s="1"/>
      <c r="E581" s="1"/>
      <c r="F581" s="1"/>
      <c r="G581" s="1"/>
      <c r="H581" s="1"/>
      <c r="I581" s="1"/>
      <c r="J581" s="1"/>
      <c r="K581" s="15" t="s">
        <v>12</v>
      </c>
      <c r="L581" s="12"/>
      <c r="M581" s="67"/>
      <c r="N581" s="67"/>
      <c r="O581" s="67"/>
      <c r="P581" s="67"/>
      <c r="Q581" s="67"/>
      <c r="R581" s="67"/>
    </row>
    <row r="582" customFormat="false" ht="13.8" hidden="false" customHeight="false" outlineLevel="0" collapsed="false">
      <c r="C582" s="1" t="s">
        <v>471</v>
      </c>
      <c r="D582" s="1"/>
      <c r="E582" s="1"/>
      <c r="F582" s="1"/>
      <c r="G582" s="1"/>
      <c r="H582" s="1"/>
      <c r="I582" s="1"/>
      <c r="J582" s="1"/>
      <c r="K582" s="15" t="s">
        <v>12</v>
      </c>
      <c r="L582" s="12"/>
      <c r="M582" s="67"/>
      <c r="N582" s="67"/>
      <c r="O582" s="67"/>
      <c r="P582" s="67"/>
      <c r="Q582" s="67"/>
      <c r="R582" s="67"/>
    </row>
    <row r="583" customFormat="false" ht="13.8" hidden="false" customHeight="false" outlineLevel="0" collapsed="false">
      <c r="C583" s="1" t="s">
        <v>472</v>
      </c>
      <c r="D583" s="1"/>
      <c r="E583" s="1"/>
      <c r="F583" s="1"/>
      <c r="G583" s="1"/>
      <c r="H583" s="1"/>
      <c r="I583" s="1"/>
      <c r="J583" s="1"/>
      <c r="K583" s="15" t="s">
        <v>12</v>
      </c>
      <c r="L583" s="12"/>
      <c r="M583" s="67"/>
      <c r="N583" s="67"/>
      <c r="O583" s="67"/>
      <c r="P583" s="67"/>
      <c r="Q583" s="67"/>
      <c r="R583" s="67"/>
    </row>
    <row r="584" customFormat="false" ht="13.8" hidden="false" customHeight="false" outlineLevel="0" collapsed="false">
      <c r="C584" s="1" t="s">
        <v>473</v>
      </c>
      <c r="D584" s="1"/>
      <c r="E584" s="1"/>
      <c r="F584" s="1"/>
      <c r="G584" s="1"/>
      <c r="H584" s="1"/>
      <c r="I584" s="1"/>
      <c r="J584" s="1"/>
      <c r="K584" s="15" t="s">
        <v>12</v>
      </c>
      <c r="L584" s="12"/>
      <c r="M584" s="67"/>
      <c r="N584" s="67"/>
      <c r="O584" s="67"/>
      <c r="P584" s="67"/>
      <c r="Q584" s="67"/>
      <c r="R584" s="67"/>
    </row>
    <row r="585" customFormat="false" ht="13.8" hidden="false" customHeight="false" outlineLevel="0" collapsed="false">
      <c r="C585" s="1" t="s">
        <v>474</v>
      </c>
      <c r="D585" s="1"/>
      <c r="E585" s="1"/>
      <c r="F585" s="1"/>
      <c r="G585" s="1"/>
      <c r="H585" s="1"/>
      <c r="I585" s="1"/>
      <c r="J585" s="1"/>
      <c r="K585" s="15" t="s">
        <v>12</v>
      </c>
      <c r="L585" s="12"/>
      <c r="M585" s="67"/>
      <c r="N585" s="67"/>
      <c r="O585" s="67"/>
      <c r="P585" s="67"/>
      <c r="Q585" s="67"/>
      <c r="R585" s="67"/>
    </row>
    <row r="586" customFormat="false" ht="13.8" hidden="false" customHeight="false" outlineLevel="0" collapsed="false">
      <c r="C586" s="116" t="s">
        <v>475</v>
      </c>
      <c r="D586" s="117"/>
      <c r="E586" s="117"/>
      <c r="F586" s="117"/>
      <c r="G586" s="117"/>
      <c r="H586" s="117"/>
      <c r="I586" s="117"/>
      <c r="J586" s="117"/>
      <c r="K586" s="118" t="s">
        <v>12</v>
      </c>
      <c r="L586" s="119"/>
      <c r="M586" s="120" t="n">
        <f aca="false">SUM(M570:M585)</f>
        <v>0</v>
      </c>
      <c r="N586" s="120" t="n">
        <f aca="false">SUM(N570:N585)</f>
        <v>0</v>
      </c>
      <c r="O586" s="120"/>
      <c r="P586" s="120" t="n">
        <f aca="false">SUM(P570:P585)</f>
        <v>0</v>
      </c>
      <c r="Q586" s="120" t="n">
        <f aca="false">SUM(Q570:Q585)</f>
        <v>0</v>
      </c>
      <c r="R586" s="120" t="n">
        <f aca="false">SUM(R570:R585)</f>
        <v>0</v>
      </c>
    </row>
    <row r="587" customFormat="false" ht="13.8" hidden="false" customHeight="false" outlineLevel="0" collapsed="false">
      <c r="L587" s="12"/>
    </row>
    <row r="588" customFormat="false" ht="13.8" hidden="false" customHeight="false" outlineLevel="0" collapsed="false">
      <c r="L588" s="12"/>
    </row>
    <row r="589" customFormat="false" ht="14.9" hidden="false" customHeight="false" outlineLevel="0" collapsed="false">
      <c r="C589" s="5" t="s">
        <v>476</v>
      </c>
      <c r="F589" s="15" t="s">
        <v>164</v>
      </c>
      <c r="G589" s="10" t="n">
        <f aca="false">COUNTIFS($M$589:$R$589,FALSE())=0</f>
        <v>1</v>
      </c>
      <c r="K589" s="15" t="s">
        <v>164</v>
      </c>
      <c r="L589" s="12"/>
      <c r="M589" s="122" t="n">
        <f aca="false">ROUND(M567-M586,Accuracy_Check)=0</f>
        <v>1</v>
      </c>
      <c r="N589" s="122" t="n">
        <f aca="false">ROUND(N567-N586,Accuracy_Check)=0</f>
        <v>1</v>
      </c>
      <c r="O589" s="122"/>
      <c r="P589" s="122" t="n">
        <f aca="false">ROUND(P567-P586,Accuracy_Check)=0</f>
        <v>1</v>
      </c>
      <c r="Q589" s="122" t="n">
        <f aca="false">ROUND(Q567-Q586,Accuracy_Check)=0</f>
        <v>1</v>
      </c>
      <c r="R589" s="122" t="n">
        <f aca="false">ROUND(R567-R586,Accuracy_Check)=0</f>
        <v>1</v>
      </c>
    </row>
    <row r="590" customFormat="false" ht="13.8" hidden="false" customHeight="false" outlineLevel="0" collapsed="false">
      <c r="L590" s="90"/>
    </row>
    <row r="591" customFormat="false" ht="13.8" hidden="false" customHeight="false" outlineLevel="0" collapsed="false">
      <c r="A591" s="1"/>
      <c r="B591" s="11" t="n">
        <f aca="false">B479+1</f>
        <v>12</v>
      </c>
      <c r="C591" s="11" t="s">
        <v>477</v>
      </c>
      <c r="D591" s="11"/>
      <c r="E591" s="11"/>
      <c r="F591" s="11"/>
      <c r="G591" s="11"/>
      <c r="H591" s="11"/>
      <c r="I591" s="11"/>
      <c r="J591" s="11"/>
      <c r="K591" s="11"/>
      <c r="L591" s="11"/>
      <c r="M591" s="11"/>
      <c r="N591" s="11"/>
      <c r="O591" s="11"/>
      <c r="P591" s="11"/>
      <c r="Q591" s="11"/>
      <c r="R591" s="11"/>
    </row>
    <row r="592" customFormat="false" ht="13.8" hidden="false" customHeight="false" outlineLevel="0" collapsed="false">
      <c r="A592" s="1"/>
      <c r="L592" s="12"/>
    </row>
    <row r="593" customFormat="false" ht="13.8" hidden="false" customHeight="false" outlineLevel="0" collapsed="false">
      <c r="A593" s="1"/>
      <c r="B593" s="1"/>
      <c r="C593" s="1" t="s">
        <v>478</v>
      </c>
      <c r="D593" s="1"/>
      <c r="E593" s="1"/>
      <c r="F593" s="1"/>
      <c r="G593" s="1"/>
      <c r="K593" s="15" t="s">
        <v>284</v>
      </c>
      <c r="L593" s="12"/>
      <c r="M593" s="21" t="e">
        <f aca="false">SUMIFS(#REF!,#REF!,M$5)+SUMIFS(N593:$R593,N$43:$R$43,M$5)+SUMIFS($L593:L593,$L43:L43,M$5)</f>
        <v>#VALUE!</v>
      </c>
      <c r="N593" s="21" t="e">
        <f aca="false">SUMIFS(#REF!,#REF!,N$5)+SUMIFS(P593:$R593,P$43:$R$43,N$5)+SUMIFS($L593:M593,$L43:M43,N$5)</f>
        <v>#VALUE!</v>
      </c>
      <c r="O593" s="21"/>
      <c r="P593" s="21" t="e">
        <f aca="false">SUMIFS(#REF!,#REF!,P$5)+SUMIFS(Q593:$R593,Q$43:$R$43,P$5)+SUMIFS($L593:N593,$L43:N43,P$5)</f>
        <v>#VALUE!</v>
      </c>
      <c r="Q593" s="21" t="e">
        <f aca="false">SUMIFS(#REF!,#REF!,Q$5)+SUMIFS(R593:$R593,R$43:$R$43,Q$5)+SUMIFS($L593:P593,$L43:P43,Q$5)</f>
        <v>#VALUE!</v>
      </c>
      <c r="R593" s="21" t="e">
        <f aca="false">SUMIFS(#REF!,#REF!,R$5)+SUMIFS(#REF!,#REF!,R$5)+SUMIFS($L593:Q593,$L43:Q43,R$5)</f>
        <v>#VALUE!</v>
      </c>
    </row>
    <row r="594" customFormat="false" ht="13.8" hidden="false" customHeight="false" outlineLevel="0" collapsed="false">
      <c r="A594" s="1"/>
      <c r="B594" s="1"/>
      <c r="C594" s="1" t="s">
        <v>479</v>
      </c>
      <c r="D594" s="1"/>
      <c r="E594" s="1"/>
      <c r="F594" s="1"/>
      <c r="G594" s="1"/>
      <c r="K594" s="15" t="s">
        <v>32</v>
      </c>
      <c r="L594" s="12"/>
      <c r="M594" s="16" t="e">
        <f aca="false">COUNTIFS(#REF!,M$5)+SUMIFS(N594:$R594,N$43:$R$43,M$5)+SUMIFS($L594:L594,$L$43:L$43,M$5)</f>
        <v>#VALUE!</v>
      </c>
      <c r="N594" s="16" t="e">
        <f aca="false">COUNTIFS(#REF!,N$5)+SUMIFS(P594:$R594,P$43:$R$43,N$5)+SUMIFS($L594:M594,$L$43:M$43,N$5)</f>
        <v>#VALUE!</v>
      </c>
      <c r="O594" s="16"/>
      <c r="P594" s="16" t="e">
        <f aca="false">COUNTIFS(#REF!,P$5)+SUMIFS(Q594:$R594,Q$43:$R$43,P$5)+SUMIFS($L594:N594,$L$43:N$43,P$5)</f>
        <v>#VALUE!</v>
      </c>
      <c r="Q594" s="16" t="e">
        <f aca="false">COUNTIFS(#REF!,Q$5)+SUMIFS(R594:$R594,R$43:$R$43,Q$5)+SUMIFS($L594:P594,$L$43:P$43,Q$5)</f>
        <v>#VALUE!</v>
      </c>
      <c r="R594" s="16" t="e">
        <f aca="false">COUNTIFS(#REF!,R$5)+SUMIFS(#REF!,#REF!,R$5)+SUMIFS($L594:Q594,$L$43:Q$43,R$5)</f>
        <v>#VALUE!</v>
      </c>
    </row>
    <row r="595" customFormat="false" ht="13.8" hidden="false" customHeight="false" outlineLevel="0" collapsed="false">
      <c r="A595" s="1"/>
      <c r="B595" s="1"/>
      <c r="C595" s="1" t="s">
        <v>480</v>
      </c>
      <c r="D595" s="1"/>
      <c r="E595" s="1"/>
      <c r="F595" s="1"/>
      <c r="G595" s="1"/>
      <c r="K595" s="15" t="s">
        <v>32</v>
      </c>
      <c r="L595" s="12"/>
      <c r="M595" s="16" t="e">
        <f aca="false">SUM((#REF!=M$5)*(#REF!&lt;&gt;0)*1)+SUMIFS(N595:$R595,N$43:$R$43,M$5)+SUMIFS($L595:L595,$L$43:L$43,M$5)</f>
        <v>#REF!</v>
      </c>
      <c r="N595" s="16" t="e">
        <f aca="false" t="array" ref="N595:N595">SUM((#REF!=N$5)*(#REF!&lt;&gt;0)*1)+SUMIFS(P595:$R595,P$43:$R$43,N$5)+SUMIFS($L595:M595,$L$43:M$43,N$5)</f>
        <v>#REF!</v>
      </c>
      <c r="O595" s="16"/>
      <c r="P595" s="16" t="e">
        <f aca="false" t="array" ref="P595:P595">SUM((#REF!=P$5)*(#REF!&lt;&gt;0)*1)+SUMIFS(Q595:$R595,Q$43:$R$43,P$5)+SUMIFS($L595:N595,$L$43:N$43,P$5)</f>
        <v>#REF!</v>
      </c>
      <c r="Q595" s="16" t="e">
        <f aca="false">SUM((#REF!=Q$5)*(#REF!&lt;&gt;0)*1)+SUMIFS(R595:$R595,R$43:$R$43,Q$5)+SUMIFS($L595:P595,$L$43:P$43,Q$5)</f>
        <v>#REF!</v>
      </c>
      <c r="R595" s="16" t="e">
        <f aca="false">SUM((#REF!=R$5)*(#REF!&lt;&gt;0)*1)+SUMIFS(#REF!,#REF!,R$5)+SUMIFS($L595:Q595,$L$43:Q$43,R$5)</f>
        <v>#REF!</v>
      </c>
    </row>
    <row r="596" customFormat="false" ht="13.8" hidden="false" customHeight="false" outlineLevel="0" collapsed="false">
      <c r="A596" s="1"/>
      <c r="B596" s="1"/>
      <c r="C596" s="1" t="s">
        <v>481</v>
      </c>
      <c r="D596" s="1"/>
      <c r="E596" s="1"/>
      <c r="F596" s="1"/>
      <c r="G596" s="1"/>
      <c r="K596" s="15" t="s">
        <v>32</v>
      </c>
      <c r="L596" s="12"/>
      <c r="M596" s="16" t="e">
        <f aca="false">IF(M5=1,-1,0)+COUNTIFS(Perimeter_Vehicle,M$5)+SUMIFS(N596:$R596,N$43:$R$43,M$5)+SUMIFS($L596:L596,$L$43:L$43,M$5)</f>
        <v>#VALUE!</v>
      </c>
      <c r="N596" s="16" t="e">
        <f aca="false">IF(N5=1,-1,0)+COUNTIFS(Perimeter_Vehicle,N$5)+SUMIFS(P596:$R596,P$43:$R$43,N$5)+SUMIFS($L596:M596,$L$43:M$43,N$5)</f>
        <v>#VALUE!</v>
      </c>
      <c r="O596" s="16"/>
      <c r="P596" s="16" t="e">
        <f aca="false">IF(P5=1,-1,0)+COUNTIFS(Perimeter_Vehicle,P$5)+SUMIFS(Q596:$R596,Q$43:$R$43,P$5)+SUMIFS($L596:N596,$L$43:N$43,P$5)</f>
        <v>#VALUE!</v>
      </c>
      <c r="Q596" s="16" t="e">
        <f aca="false">IF(Q5=1,-1,0)+COUNTIFS(Perimeter_Vehicle,Q$5)+SUMIFS(R596:$R596,R$43:$R$43,Q$5)+SUMIFS($L596:P596,$L$43:P$43,Q$5)</f>
        <v>#VALUE!</v>
      </c>
      <c r="R596" s="16" t="e">
        <f aca="false">IF(R5=1,-1,0)+COUNTIFS(Perimeter_Vehicle,R$5)+SUMIFS(#REF!,#REF!,R$5)+SUMIFS($L596:Q596,$L$43:Q$43,R$5)</f>
        <v>#VALUE!</v>
      </c>
    </row>
    <row r="597" customFormat="false" ht="13.8" hidden="false" customHeight="false" outlineLevel="0" collapsed="false">
      <c r="A597" s="1"/>
      <c r="B597" s="1"/>
      <c r="C597" s="1" t="s">
        <v>482</v>
      </c>
      <c r="D597" s="1"/>
      <c r="E597" s="1"/>
      <c r="F597" s="1"/>
      <c r="G597" s="1"/>
      <c r="K597" s="15" t="s">
        <v>483</v>
      </c>
      <c r="L597" s="12"/>
      <c r="M597" s="21" t="e">
        <f aca="false">SUMIFS(#REF!,#REF!,M$5)+SUMIFS(N597:$R597,N$43:$R$43,M$5)+SUMIFS($L597:L597,$L43:L43,M$5)</f>
        <v>#VALUE!</v>
      </c>
      <c r="N597" s="21" t="e">
        <f aca="false">SUMIFS(#REF!,#REF!,N$5)+SUMIFS(P597:$R597,P$43:$R$43,N$5)+SUMIFS($L597:M597,$L43:M43,N$5)</f>
        <v>#VALUE!</v>
      </c>
      <c r="O597" s="21"/>
      <c r="P597" s="21" t="e">
        <f aca="false">SUMIFS(#REF!,#REF!,P$5)+SUMIFS(Q597:$R597,Q$43:$R$43,P$5)+SUMIFS($L597:N597,$L43:N43,P$5)</f>
        <v>#VALUE!</v>
      </c>
      <c r="Q597" s="21" t="e">
        <f aca="false">SUMIFS(#REF!,#REF!,Q$5)+SUMIFS(R597:$R597,R$43:$R$43,Q$5)+SUMIFS($L597:P597,$L43:P43,Q$5)</f>
        <v>#VALUE!</v>
      </c>
      <c r="R597" s="21" t="e">
        <f aca="false">SUMIFS(#REF!,#REF!,R$5)+SUMIFS(#REF!,#REF!,R$5)+SUMIFS($L597:Q597,$L43:Q43,R$5)</f>
        <v>#VALUE!</v>
      </c>
    </row>
    <row r="598" customFormat="false" ht="13.8" hidden="false" customHeight="false" outlineLevel="0" collapsed="false">
      <c r="A598" s="1"/>
      <c r="B598" s="1"/>
      <c r="C598" s="1" t="s">
        <v>484</v>
      </c>
      <c r="D598" s="1"/>
      <c r="E598" s="1"/>
      <c r="F598" s="1"/>
      <c r="G598" s="1"/>
      <c r="K598" s="15" t="s">
        <v>483</v>
      </c>
      <c r="L598" s="12"/>
      <c r="M598" s="21" t="e">
        <f aca="false">SUMIFS(#REF!,#REF!,M$5)+IFERROR(SUMPRODUCT(_xlfn._xlws.FILTER(N598:$R598,(N$43:$R$43=M$5)*1),_xlfn._xlws.FILTER(N$45:$R$45,(N$43:$R$43=M$5)*1)),0)+IFERROR(SUMPRODUCT(_xlfn._xlws.FILTER($L598:L598,($L$43:L$43=M$5)*1),_xlfn._xlws.FILTER($L$45:L$45,($L$43:L$43=M$5)*1)),0)</f>
        <v>#VALUE!</v>
      </c>
      <c r="N598" s="21" t="e">
        <f aca="false" t="array" ref="N598:N598">SUMIFS(#REF!,#REF!,N$5)+IFERROR(SUMPRODUCT(_xlfn._xlws.FILTER(P598:$R598,(P$43:$R$43=N$5)*1),_xlfn._xlws.FILTER(P$45:$R$45,(P$43:$R$43=N$5)*1)),0)+IFERROR(SUMPRODUCT(_xlfn._xlws.FILTER($L598:M598,($L$43:M$43=N$5)*1),_xlfn._xlws.FILTER($L$45:M$45,($L$43:M$43=N$5)*1)),0)</f>
        <v>#VALUE!</v>
      </c>
      <c r="O598" s="21"/>
      <c r="P598" s="21" t="e">
        <f aca="false" t="array" ref="P598:P598">SUMIFS(#REF!,#REF!,P$5)+IFERROR(SUMPRODUCT(_xlfn._xlws.FILTER(Q598:$R598,(Q$43:$R$43=P$5)*1),_xlfn._xlws.FILTER(Q$45:$R$45,(Q$43:$R$43=P$5)*1)),0)+IFERROR(SUMPRODUCT(_xlfn._xlws.FILTER($L598:N598,($L$43:N$43=P$5)*1),_xlfn._xlws.FILTER($L$45:N$45,($L$43:N$43=P$5)*1)),0)</f>
        <v>#VALUE!</v>
      </c>
      <c r="Q598" s="21" t="e">
        <f aca="false">SUMIFS(#REF!,#REF!,Q$5)+IFERROR(SUMPRODUCT(_xlfn._xlws.FILTER(R598:$R598,(R$43:$R$43=Q$5)*1),_xlfn._xlws.FILTER(R$45:$R$45,(R$43:$R$43=Q$5)*1)),0)+IFERROR(SUMPRODUCT(_xlfn._xlws.FILTER($L598:P598,($L$43:P$43=Q$5)*1),_xlfn._xlws.FILTER($L$45:P$45,($L$43:P$43=Q$5)*1)),0)</f>
        <v>#VALUE!</v>
      </c>
      <c r="R598" s="21" t="e">
        <f aca="false">SUMIFS(#REF!,#REF!,R$5)+IFERROR(SUMPRODUCT(_xlfn._xlws.FILTER(#REF!,(#REF!=R$5)*1),_xlfn._xlws.FILTER(#REF!,(#REF!=R$5)*1)),0)+IFERROR(SUMPRODUCT(_xlfn._xlws.FILTER($L598:Q598,($L$43:Q$43=R$5)*1),_xlfn._xlws.FILTER($L$45:Q$45,($L$43:Q$43=R$5)*1)),0)</f>
        <v>#VALUE!</v>
      </c>
    </row>
    <row r="599" customFormat="false" ht="13.8" hidden="false" customHeight="false" outlineLevel="0" collapsed="false">
      <c r="A599" s="1"/>
      <c r="B599" s="1"/>
      <c r="C599" s="1" t="s">
        <v>485</v>
      </c>
      <c r="D599" s="1"/>
      <c r="E599" s="1"/>
      <c r="F599" s="1"/>
      <c r="G599" s="1"/>
      <c r="K599" s="15" t="s">
        <v>12</v>
      </c>
      <c r="L599" s="12"/>
      <c r="M599" s="21" t="e">
        <f aca="false">SUMIFS(#REF!,#REF!,M$5)+SUMIFS(N599:$R599,N$43:$R$43,M$5)+SUMIFS($L599:L599,$L43:L43,M$5)</f>
        <v>#VALUE!</v>
      </c>
      <c r="N599" s="21" t="e">
        <f aca="false">SUMIFS(#REF!,#REF!,N$5)+SUMIFS(P599:$R599,P$43:$R$43,N$5)+SUMIFS($L599:M599,$L43:M43,N$5)</f>
        <v>#VALUE!</v>
      </c>
      <c r="O599" s="21"/>
      <c r="P599" s="21" t="e">
        <f aca="false">SUMIFS(#REF!,#REF!,P$5)+SUMIFS(Q599:$R599,Q$43:$R$43,P$5)+SUMIFS($L599:N599,$L43:N43,P$5)</f>
        <v>#VALUE!</v>
      </c>
      <c r="Q599" s="21" t="e">
        <f aca="false">SUMIFS(#REF!,#REF!,Q$5)+SUMIFS(R599:$R599,R$43:$R$43,Q$5)+SUMIFS($L599:P599,$L43:P43,Q$5)</f>
        <v>#VALUE!</v>
      </c>
      <c r="R599" s="21" t="e">
        <f aca="false">SUMIFS(#REF!,#REF!,R$5)+SUMIFS(#REF!,#REF!,R$5)+SUMIFS($L599:Q599,$L43:Q43,R$5)</f>
        <v>#VALUE!</v>
      </c>
    </row>
    <row r="600" customFormat="false" ht="13.8" hidden="false" customHeight="false" outlineLevel="0" collapsed="false">
      <c r="A600" s="1"/>
      <c r="B600" s="1"/>
      <c r="C600" s="1" t="s">
        <v>486</v>
      </c>
      <c r="D600" s="1"/>
      <c r="E600" s="1"/>
      <c r="F600" s="1"/>
      <c r="G600" s="1"/>
      <c r="K600" s="15" t="s">
        <v>23</v>
      </c>
      <c r="L600" s="12"/>
      <c r="M600" s="21" t="e">
        <f aca="false">IF(SUMIFS(#REF!,#REF!,M$5)&lt;&gt;0,SUMIFS(#REF!,#REF!,M$5),SUMIFS(N600:$R600,N$43:$R$43,M$5)+SUMIFS($L600:L600,$L43:L43,M$5))</f>
        <v>#VALUE!</v>
      </c>
      <c r="N600" s="21" t="e">
        <f aca="false">IF(SUMIFS(#REF!,#REF!,N$5)&lt;&gt;0,SUMIFS(#REF!,#REF!,N$5),SUMIFS(P600:$R600,P$43:$R$43,N$5)+SUMIFS($L600:M600,$L43:M43,N$5))</f>
        <v>#VALUE!</v>
      </c>
      <c r="O600" s="21"/>
      <c r="P600" s="21" t="e">
        <f aca="false">IF(SUMIFS(#REF!,#REF!,P$5)&lt;&gt;0,SUMIFS(#REF!,#REF!,P$5),SUMIFS(Q600:$R600,Q$43:$R$43,P$5)+SUMIFS($L600:N600,$L43:N43,P$5))</f>
        <v>#VALUE!</v>
      </c>
      <c r="Q600" s="21" t="e">
        <f aca="false">IF(SUMIFS(#REF!,#REF!,Q$5)&lt;&gt;0,SUMIFS(#REF!,#REF!,Q$5),SUMIFS(R600:$R600,R$43:$R$43,Q$5)+SUMIFS($L600:P600,$L43:P43,Q$5))</f>
        <v>#VALUE!</v>
      </c>
      <c r="R600" s="21" t="e">
        <f aca="false">IF(SUMIFS(#REF!,#REF!,R$5)&lt;&gt;0,SUMIFS(#REF!,#REF!,R$5),SUMIFS(#REF!,#REF!,R$5)+SUMIFS($L600:Q600,$L43:Q43,R$5))</f>
        <v>#VALUE!</v>
      </c>
    </row>
    <row r="601" customFormat="false" ht="13.8" hidden="false" customHeight="false" outlineLevel="0" collapsed="false">
      <c r="A601" s="1"/>
      <c r="B601" s="1"/>
      <c r="C601" s="1" t="s">
        <v>487</v>
      </c>
      <c r="D601" s="1"/>
      <c r="E601" s="1"/>
      <c r="F601" s="1"/>
      <c r="G601" s="1"/>
      <c r="K601" s="15" t="s">
        <v>25</v>
      </c>
      <c r="L601" s="12"/>
      <c r="M601" s="111" t="e">
        <f aca="false">MAX(_xlfn.MAXIFS(#REF!,#REF!,M$5),_xlfn.MAXIFS(N601:$R601,N$43:$R$43,M$5)+_xlfn.MAXIFS($L601:L601,$L43:L43,M$5))</f>
        <v>#VALUE!</v>
      </c>
      <c r="N601" s="111" t="e">
        <f aca="false">MAX(_xlfn.MAXIFS(#REF!,#REF!,N$5),_xlfn.MAXIFS(P601:$R601,P$43:$R$43,N$5)+_xlfn.MAXIFS($L601:M601,$L43:M43,N$5))</f>
        <v>#VALUE!</v>
      </c>
      <c r="O601" s="111"/>
      <c r="P601" s="111" t="e">
        <f aca="false">MAX(_xlfn.MAXIFS(#REF!,#REF!,P$5),_xlfn.MAXIFS(Q601:$R601,Q$43:$R$43,P$5)+_xlfn.MAXIFS($L601:N601,$L43:N43,P$5))</f>
        <v>#VALUE!</v>
      </c>
      <c r="Q601" s="111" t="e">
        <f aca="false">MAX(_xlfn.MAXIFS(#REF!,#REF!,Q$5),_xlfn.MAXIFS(R601:$R601,R$43:$R$43,Q$5)+_xlfn.MAXIFS($L601:P601,$L43:P43,Q$5))</f>
        <v>#VALUE!</v>
      </c>
      <c r="R601" s="111" t="e">
        <f aca="false">MAX(_xlfn.MAXIFS(#REF!,#REF!,R$5),_xlfn.MAXIFS(#REF!,#REF!,R$5)+_xlfn.MAXIFS($L601:Q601,$L43:Q43,R$5))</f>
        <v>#VALUE!</v>
      </c>
    </row>
    <row r="602" customFormat="false" ht="13.8" hidden="false" customHeight="false" outlineLevel="0" collapsed="false">
      <c r="A602" s="1"/>
      <c r="C602" s="1" t="s">
        <v>488</v>
      </c>
      <c r="K602" s="15" t="s">
        <v>27</v>
      </c>
      <c r="L602" s="12"/>
      <c r="M602" s="21" t="n">
        <f aca="false">IFERROR(IF(COUNTIFS(#REF!,M$5)&lt;&gt;0,SUMPRODUCT((#REF!),(#REF!)*(#REF!&lt;&gt;0),(#REF!=M$5)*1),(IF(SUM((N$43:$R$43=M$5)*1)=0,0,SUMPRODUCT(_xlfn._xlws.FILTER(N$593:$R$593,(N$43:$R$43=M$5)*1),_xlfn._xlws.FILTER(N602:$R602,(N$43:$R$43=M$5)*1)))+IF(SUM(($L$43:L$43=M$5)*1)=0,0,SUMPRODUCT(_xlfn._xlws.FILTER($L$593:L$593,($L$43:L$43=M$5)*1),_xlfn._xlws.FILTER($L602:L602,($L$43:L$43=M$5)*1))))/M$593),0)</f>
        <v>0</v>
      </c>
      <c r="N602" s="21" t="n">
        <f aca="false" t="array" ref="N602:N602">IFERROR(IF(COUNTIFS(#REF!,N$5)&lt;&gt;0,SUMPRODUCT((#REF!),(#REF!)*(#REF!&lt;&gt;0),(#REF!=N$5)*1),(IF(SUM((P$43:$R$43=N$5)*1)=0,0,SUMPRODUCT(_xlfn._xlws.FILTER(P$593:$R$593,(P$43:$R$43=N$5)*1),_xlfn._xlws.FILTER(P602:$R602,(P$43:$R$43=N$5)*1)))+IF(SUM(($L$43:M$43=N$5)*1)=0,0,SUMPRODUCT(_xlfn._xlws.FILTER($L$593:M$593,($L$43:M$43=N$5)*1),_xlfn._xlws.FILTER($L602:M602,($L$43:M$43=N$5)*1))))/N$593),0)</f>
        <v>0</v>
      </c>
      <c r="O602" s="21"/>
      <c r="P602" s="21" t="n">
        <f aca="false" t="array" ref="P602:P602">IFERROR(IF(COUNTIFS(#REF!,P$5)&lt;&gt;0,SUMPRODUCT((#REF!),(#REF!)*(#REF!&lt;&gt;0),(#REF!=P$5)*1),(IF(SUM((Q$43:$R$43=P$5)*1)=0,0,SUMPRODUCT(_xlfn._xlws.FILTER(Q$593:$R$593,(Q$43:$R$43=P$5)*1),_xlfn._xlws.FILTER(Q602:$R602,(Q$43:$R$43=P$5)*1)))+IF(SUM(($L$43:N$43=P$5)*1)=0,0,SUMPRODUCT(_xlfn._xlws.FILTER($L$593:N$593,($L$43:N$43=P$5)*1),_xlfn._xlws.FILTER($L602:N602,($L$43:N$43=P$5)*1))))/P$593),0)</f>
        <v>0</v>
      </c>
      <c r="Q602" s="21" t="n">
        <f aca="false">IFERROR(IF(COUNTIFS(#REF!,Q$5)&lt;&gt;0,SUMPRODUCT((#REF!),(#REF!)*(#REF!&lt;&gt;0),(#REF!=Q$5)*1),(IF(SUM((R$43:$R$43=Q$5)*1)=0,0,SUMPRODUCT(_xlfn._xlws.FILTER(R$593:$R$593,(R$43:$R$43=Q$5)*1),_xlfn._xlws.FILTER(R602:$R602,(R$43:$R$43=Q$5)*1)))+IF(SUM(($L$43:P$43=Q$5)*1)=0,0,SUMPRODUCT(_xlfn._xlws.FILTER($L$593:P$593,($L$43:P$43=Q$5)*1),_xlfn._xlws.FILTER($L602:P602,($L$43:P$43=Q$5)*1))))/Q$593),0)</f>
        <v>0</v>
      </c>
      <c r="R602" s="21" t="n">
        <f aca="false">IFERROR(IF(COUNTIFS(#REF!,R$5)&lt;&gt;0,SUMPRODUCT((#REF!),(#REF!)*(#REF!&lt;&gt;0),(#REF!=R$5)*1),(IF(SUM((#REF!=R$5)*1)=0,0,SUMPRODUCT(_xlfn._xlws.FILTER(#REF!,(#REF!=R$5)*1),_xlfn._xlws.FILTER(#REF!,(#REF!=R$5)*1)))+IF(SUM(($L$43:Q$43=R$5)*1)=0,0,SUMPRODUCT(_xlfn._xlws.FILTER($L$593:Q$593,($L$43:Q$43=R$5)*1),_xlfn._xlws.FILTER($L602:Q602,($L$43:Q$43=R$5)*1))))/R$593),0)</f>
        <v>0</v>
      </c>
    </row>
    <row r="603" customFormat="false" ht="13.8" hidden="false" customHeight="false" outlineLevel="0" collapsed="false">
      <c r="A603" s="1"/>
      <c r="C603" s="1" t="s">
        <v>489</v>
      </c>
      <c r="K603" s="15" t="s">
        <v>27</v>
      </c>
      <c r="L603" s="12"/>
      <c r="M603" s="21" t="n">
        <f aca="false">IFERROR(IF(COUNTIFS(#REF!,M$5)&lt;&gt;0,SUMPRODUCT((#REF!),(#REF!)*(#REF!&lt;&gt;0),(#REF!=M$5)*1),(IF(SUM((N$43:$R$43=M$5)*1)=0,0,SUMPRODUCT(_xlfn._xlws.FILTER(N$593:$R$593,(N$43:$R$43=M$5)*1),_xlfn._xlws.FILTER(N603:$R603,(N$43:$R$43=M$5)*1)))+IF(SUM(($L$43:L$43=M$5)*1)=0,0,SUMPRODUCT(_xlfn._xlws.FILTER($L$593:L$593,($L$43:L$43=M$5)*1),_xlfn._xlws.FILTER($L603:L603,($L$43:L$43=M$5)*1))))/M$593),0)</f>
        <v>0</v>
      </c>
      <c r="N603" s="21" t="n">
        <f aca="false" t="array" ref="N603:N603">IFERROR(IF(COUNTIFS(#REF!,N$5)&lt;&gt;0,SUMPRODUCT((#REF!),(#REF!)*(#REF!&lt;&gt;0),(#REF!=N$5)*1),(IF(SUM((P$43:$R$43=N$5)*1)=0,0,SUMPRODUCT(_xlfn._xlws.FILTER(P$593:$R$593,(P$43:$R$43=N$5)*1),_xlfn._xlws.FILTER(P603:$R603,(P$43:$R$43=N$5)*1)))+IF(SUM(($L$43:M$43=N$5)*1)=0,0,SUMPRODUCT(_xlfn._xlws.FILTER($L$593:M$593,($L$43:M$43=N$5)*1),_xlfn._xlws.FILTER($L603:M603,($L$43:M$43=N$5)*1))))/N$593),0)</f>
        <v>0</v>
      </c>
      <c r="O603" s="21"/>
      <c r="P603" s="21" t="n">
        <f aca="false" t="array" ref="P603:P603">IFERROR(IF(COUNTIFS(#REF!,P$5)&lt;&gt;0,SUMPRODUCT((#REF!),(#REF!)*(#REF!&lt;&gt;0),(#REF!=P$5)*1),(IF(SUM((Q$43:$R$43=P$5)*1)=0,0,SUMPRODUCT(_xlfn._xlws.FILTER(Q$593:$R$593,(Q$43:$R$43=P$5)*1),_xlfn._xlws.FILTER(Q603:$R603,(Q$43:$R$43=P$5)*1)))+IF(SUM(($L$43:N$43=P$5)*1)=0,0,SUMPRODUCT(_xlfn._xlws.FILTER($L$593:N$593,($L$43:N$43=P$5)*1),_xlfn._xlws.FILTER($L603:N603,($L$43:N$43=P$5)*1))))/P$593),0)</f>
        <v>0</v>
      </c>
      <c r="Q603" s="21" t="n">
        <f aca="false">IFERROR(IF(COUNTIFS(#REF!,Q$5)&lt;&gt;0,SUMPRODUCT((#REF!),(#REF!)*(#REF!&lt;&gt;0),(#REF!=Q$5)*1),(IF(SUM((R$43:$R$43=Q$5)*1)=0,0,SUMPRODUCT(_xlfn._xlws.FILTER(R$593:$R$593,(R$43:$R$43=Q$5)*1),_xlfn._xlws.FILTER(R603:$R603,(R$43:$R$43=Q$5)*1)))+IF(SUM(($L$43:P$43=Q$5)*1)=0,0,SUMPRODUCT(_xlfn._xlws.FILTER($L$593:P$593,($L$43:P$43=Q$5)*1),_xlfn._xlws.FILTER($L603:P603,($L$43:P$43=Q$5)*1))))/Q$593),0)</f>
        <v>0</v>
      </c>
      <c r="R603" s="21" t="n">
        <f aca="false">IFERROR(IF(COUNTIFS(#REF!,R$5)&lt;&gt;0,SUMPRODUCT((#REF!),(#REF!)*(#REF!&lt;&gt;0),(#REF!=R$5)*1),(IF(SUM((#REF!=R$5)*1)=0,0,SUMPRODUCT(_xlfn._xlws.FILTER(#REF!,(#REF!=R$5)*1),_xlfn._xlws.FILTER(#REF!,(#REF!=R$5)*1)))+IF(SUM(($L$43:Q$43=R$5)*1)=0,0,SUMPRODUCT(_xlfn._xlws.FILTER($L$593:Q$593,($L$43:Q$43=R$5)*1),_xlfn._xlws.FILTER($L603:Q603,($L$43:Q$43=R$5)*1))))/R$593),0)</f>
        <v>0</v>
      </c>
    </row>
    <row r="604" customFormat="false" ht="13.8" hidden="false" customHeight="false" outlineLevel="0" collapsed="false">
      <c r="A604" s="1"/>
      <c r="C604" s="1" t="s">
        <v>490</v>
      </c>
      <c r="K604" s="15" t="s">
        <v>30</v>
      </c>
      <c r="L604" s="12"/>
      <c r="M604" s="24" t="n">
        <f aca="false">IFERROR(IF(COUNTIFS(#REF!,M$5)&lt;&gt;0,SUMPRODUCT((#REF!),(#REF!)*(#REF!&lt;&gt;0),(#REF!=M$5)*1),(IF(SUM((N$43:$R$43=M$5)*1)=0,0,SUMPRODUCT(_xlfn._xlws.FILTER(N$593:$R$593,(N$43:$R$43=M$5)*1),_xlfn._xlws.FILTER(N604:$R604,(N$43:$R$43=M$5)*1)))+IF(SUM(($L$43:L$43=M$5)*1)=0,0,SUMPRODUCT(_xlfn._xlws.FILTER($L$593:L$593,($L$43:L$43=M$5)*1),_xlfn._xlws.FILTER($L604:L604,($L$43:L$43=M$5)*1))))/M$593),0)</f>
        <v>0</v>
      </c>
      <c r="N604" s="24" t="n">
        <f aca="false" t="array" ref="N604:N604">IFERROR(IF(COUNTIFS(#REF!,N$5)&lt;&gt;0,SUMPRODUCT((#REF!),(#REF!)*(#REF!&lt;&gt;0),(#REF!=N$5)*1),(IF(SUM((P$43:$R$43=N$5)*1)=0,0,SUMPRODUCT(_xlfn._xlws.FILTER(P$593:$R$593,(P$43:$R$43=N$5)*1),_xlfn._xlws.FILTER(P604:$R604,(P$43:$R$43=N$5)*1)))+IF(SUM(($L$43:M$43=N$5)*1)=0,0,SUMPRODUCT(_xlfn._xlws.FILTER($L$593:M$593,($L$43:M$43=N$5)*1),_xlfn._xlws.FILTER($L604:M604,($L$43:M$43=N$5)*1))))/N$593),0)</f>
        <v>0</v>
      </c>
      <c r="O604" s="24"/>
      <c r="P604" s="24" t="n">
        <f aca="false" t="array" ref="P604:P604">IFERROR(IF(COUNTIFS(#REF!,P$5)&lt;&gt;0,SUMPRODUCT((#REF!),(#REF!)*(#REF!&lt;&gt;0),(#REF!=P$5)*1),(IF(SUM((Q$43:$R$43=P$5)*1)=0,0,SUMPRODUCT(_xlfn._xlws.FILTER(Q$593:$R$593,(Q$43:$R$43=P$5)*1),_xlfn._xlws.FILTER(Q604:$R604,(Q$43:$R$43=P$5)*1)))+IF(SUM(($L$43:N$43=P$5)*1)=0,0,SUMPRODUCT(_xlfn._xlws.FILTER($L$593:N$593,($L$43:N$43=P$5)*1),_xlfn._xlws.FILTER($L604:N604,($L$43:N$43=P$5)*1))))/P$593),0)</f>
        <v>0</v>
      </c>
      <c r="Q604" s="24" t="n">
        <f aca="false">IFERROR(IF(COUNTIFS(#REF!,Q$5)&lt;&gt;0,SUMPRODUCT((#REF!),(#REF!)*(#REF!&lt;&gt;0),(#REF!=Q$5)*1),(IF(SUM((R$43:$R$43=Q$5)*1)=0,0,SUMPRODUCT(_xlfn._xlws.FILTER(R$593:$R$593,(R$43:$R$43=Q$5)*1),_xlfn._xlws.FILTER(R604:$R604,(R$43:$R$43=Q$5)*1)))+IF(SUM(($L$43:P$43=Q$5)*1)=0,0,SUMPRODUCT(_xlfn._xlws.FILTER($L$593:P$593,($L$43:P$43=Q$5)*1),_xlfn._xlws.FILTER($L604:P604,($L$43:P$43=Q$5)*1))))/Q$593),0)</f>
        <v>0</v>
      </c>
      <c r="R604" s="24" t="n">
        <f aca="false">IFERROR(IF(COUNTIFS(#REF!,R$5)&lt;&gt;0,SUMPRODUCT((#REF!),(#REF!)*(#REF!&lt;&gt;0),(#REF!=R$5)*1),(IF(SUM((#REF!=R$5)*1)=0,0,SUMPRODUCT(_xlfn._xlws.FILTER(#REF!,(#REF!=R$5)*1),_xlfn._xlws.FILTER(#REF!,(#REF!=R$5)*1)))+IF(SUM(($L$43:Q$43=R$5)*1)=0,0,SUMPRODUCT(_xlfn._xlws.FILTER($L$593:Q$593,($L$43:Q$43=R$5)*1),_xlfn._xlws.FILTER($L604:Q604,($L$43:Q$43=R$5)*1))))/R$593),0)</f>
        <v>0</v>
      </c>
    </row>
    <row r="605" customFormat="false" ht="13.8" hidden="false" customHeight="false" outlineLevel="0" collapsed="false">
      <c r="A605" s="1"/>
      <c r="C605" s="1" t="e">
        <f aca="false">"Average "&amp;#REF!</f>
        <v>#REF!</v>
      </c>
      <c r="K605" s="15" t="s">
        <v>33</v>
      </c>
      <c r="L605" s="12"/>
      <c r="M605" s="123" t="n">
        <f aca="false">IFERROR(IF(COUNTIFS(#REF!,M$5)&lt;&gt;0,SUMPRODUCT(#REF!,(#REF!),(#REF!=M$5)*1),(IF(SUM((N$43:$R$43=M$5)*1)=0,0,SUMPRODUCT(_xlfn._xlws.FILTER(N$593:$R$593,(N$43:$R$43=M$5)*1),_xlfn._xlws.FILTER(N605:$R605,(N$43:$R$43=M$5)*1)))+IF(SUM(($L$43:L$43=M$5)*1)=0,0,SUMPRODUCT(_xlfn._xlws.FILTER($L$593:L$593,($L$43:L$43=M$5)*1),_xlfn._xlws.FILTER($L605:L605,($L$43:L$43=M$5)*1))))/M$593),0)</f>
        <v>0</v>
      </c>
      <c r="N605" s="123" t="n">
        <f aca="false" t="array" ref="N605:N605">IFERROR(IF(COUNTIFS(#REF!,N$5)&lt;&gt;0,SUMPRODUCT(#REF!,(#REF!),(#REF!=N$5)*1),(IF(SUM((P$43:$R$43=N$5)*1)=0,0,SUMPRODUCT(_xlfn._xlws.FILTER(P$593:$R$593,(P$43:$R$43=N$5)*1),_xlfn._xlws.FILTER(P605:$R605,(P$43:$R$43=N$5)*1)))+IF(SUM(($L$43:M$43=N$5)*1)=0,0,SUMPRODUCT(_xlfn._xlws.FILTER($L$593:M$593,($L$43:M$43=N$5)*1),_xlfn._xlws.FILTER($L605:M605,($L$43:M$43=N$5)*1))))/N$593),0)</f>
        <v>0</v>
      </c>
      <c r="O605" s="123"/>
      <c r="P605" s="123" t="n">
        <f aca="false" t="array" ref="P605:P605">IFERROR(IF(COUNTIFS(#REF!,P$5)&lt;&gt;0,SUMPRODUCT(#REF!,(#REF!),(#REF!=P$5)*1),(IF(SUM((Q$43:$R$43=P$5)*1)=0,0,SUMPRODUCT(_xlfn._xlws.FILTER(Q$593:$R$593,(Q$43:$R$43=P$5)*1),_xlfn._xlws.FILTER(Q605:$R605,(Q$43:$R$43=P$5)*1)))+IF(SUM(($L$43:N$43=P$5)*1)=0,0,SUMPRODUCT(_xlfn._xlws.FILTER($L$593:N$593,($L$43:N$43=P$5)*1),_xlfn._xlws.FILTER($L605:N605,($L$43:N$43=P$5)*1))))/P$593),0)</f>
        <v>0</v>
      </c>
      <c r="Q605" s="123" t="n">
        <f aca="false">IFERROR(IF(COUNTIFS(#REF!,Q$5)&lt;&gt;0,SUMPRODUCT(#REF!,(#REF!),(#REF!=Q$5)*1),(IF(SUM((R$43:$R$43=Q$5)*1)=0,0,SUMPRODUCT(_xlfn._xlws.FILTER(R$593:$R$593,(R$43:$R$43=Q$5)*1),_xlfn._xlws.FILTER(R605:$R605,(R$43:$R$43=Q$5)*1)))+IF(SUM(($L$43:P$43=Q$5)*1)=0,0,SUMPRODUCT(_xlfn._xlws.FILTER($L$593:P$593,($L$43:P$43=Q$5)*1),_xlfn._xlws.FILTER($L605:P605,($L$43:P$43=Q$5)*1))))/Q$593),0)</f>
        <v>0</v>
      </c>
      <c r="R605" s="123" t="n">
        <f aca="false">IFERROR(IF(COUNTIFS(#REF!,R$5)&lt;&gt;0,SUMPRODUCT(#REF!,(#REF!),(#REF!=R$5)*1),(IF(SUM((#REF!=R$5)*1)=0,0,SUMPRODUCT(_xlfn._xlws.FILTER(#REF!,(#REF!=R$5)*1),_xlfn._xlws.FILTER(#REF!,(#REF!=R$5)*1)))+IF(SUM(($L$43:Q$43=R$5)*1)=0,0,SUMPRODUCT(_xlfn._xlws.FILTER($L$593:Q$593,($L$43:Q$43=R$5)*1),_xlfn._xlws.FILTER($L605:Q605,($L$43:Q$43=R$5)*1))))/R$593),0)</f>
        <v>0</v>
      </c>
    </row>
    <row r="606" customFormat="false" ht="13.8" hidden="false" customHeight="false" outlineLevel="0" collapsed="false">
      <c r="A606" s="1"/>
      <c r="C606" s="1" t="e">
        <f aca="false">"Average "&amp;#REF!</f>
        <v>#REF!</v>
      </c>
      <c r="K606" s="15" t="s">
        <v>33</v>
      </c>
      <c r="L606" s="12"/>
      <c r="M606" s="123" t="n">
        <f aca="false">IFERROR(IF(COUNTIFS(#REF!,M$5)&lt;&gt;0,SUMPRODUCT(#REF!,(#REF!),(#REF!=M$5)*1),(IF(SUM((N$43:$R$43=M$5)*1)=0,0,SUMPRODUCT(_xlfn._xlws.FILTER(N$593:$R$593,(N$43:$R$43=M$5)*1),_xlfn._xlws.FILTER(N606:$R606,(N$43:$R$43=M$5)*1)))+IF(SUM(($L$43:L$43=M$5)*1)=0,0,SUMPRODUCT(_xlfn._xlws.FILTER($L$593:L$593,($L$43:L$43=M$5)*1),_xlfn._xlws.FILTER($L606:L606,($L$43:L$43=M$5)*1))))/M$593),0)</f>
        <v>0</v>
      </c>
      <c r="N606" s="123" t="n">
        <f aca="false" t="array" ref="N606:N606">IFERROR(IF(COUNTIFS(#REF!,N$5)&lt;&gt;0,SUMPRODUCT(#REF!,(#REF!),(#REF!=N$5)*1),(IF(SUM((P$43:$R$43=N$5)*1)=0,0,SUMPRODUCT(_xlfn._xlws.FILTER(P$593:$R$593,(P$43:$R$43=N$5)*1),_xlfn._xlws.FILTER(P606:$R606,(P$43:$R$43=N$5)*1)))+IF(SUM(($L$43:M$43=N$5)*1)=0,0,SUMPRODUCT(_xlfn._xlws.FILTER($L$593:M$593,($L$43:M$43=N$5)*1),_xlfn._xlws.FILTER($L606:M606,($L$43:M$43=N$5)*1))))/N$593),0)</f>
        <v>0</v>
      </c>
      <c r="O606" s="123"/>
      <c r="P606" s="123" t="n">
        <f aca="false" t="array" ref="P606:P606">IFERROR(IF(COUNTIFS(#REF!,P$5)&lt;&gt;0,SUMPRODUCT(#REF!,(#REF!),(#REF!=P$5)*1),(IF(SUM((Q$43:$R$43=P$5)*1)=0,0,SUMPRODUCT(_xlfn._xlws.FILTER(Q$593:$R$593,(Q$43:$R$43=P$5)*1),_xlfn._xlws.FILTER(Q606:$R606,(Q$43:$R$43=P$5)*1)))+IF(SUM(($L$43:N$43=P$5)*1)=0,0,SUMPRODUCT(_xlfn._xlws.FILTER($L$593:N$593,($L$43:N$43=P$5)*1),_xlfn._xlws.FILTER($L606:N606,($L$43:N$43=P$5)*1))))/P$593),0)</f>
        <v>0</v>
      </c>
      <c r="Q606" s="123" t="n">
        <f aca="false">IFERROR(IF(COUNTIFS(#REF!,Q$5)&lt;&gt;0,SUMPRODUCT(#REF!,(#REF!),(#REF!=Q$5)*1),(IF(SUM((R$43:$R$43=Q$5)*1)=0,0,SUMPRODUCT(_xlfn._xlws.FILTER(R$593:$R$593,(R$43:$R$43=Q$5)*1),_xlfn._xlws.FILTER(R606:$R606,(R$43:$R$43=Q$5)*1)))+IF(SUM(($L$43:P$43=Q$5)*1)=0,0,SUMPRODUCT(_xlfn._xlws.FILTER($L$593:P$593,($L$43:P$43=Q$5)*1),_xlfn._xlws.FILTER($L606:P606,($L$43:P$43=Q$5)*1))))/Q$593),0)</f>
        <v>0</v>
      </c>
      <c r="R606" s="123" t="n">
        <f aca="false">IFERROR(IF(COUNTIFS(#REF!,R$5)&lt;&gt;0,SUMPRODUCT(#REF!,(#REF!),(#REF!=R$5)*1),(IF(SUM((#REF!=R$5)*1)=0,0,SUMPRODUCT(_xlfn._xlws.FILTER(#REF!,(#REF!=R$5)*1),_xlfn._xlws.FILTER(#REF!,(#REF!=R$5)*1)))+IF(SUM(($L$43:Q$43=R$5)*1)=0,0,SUMPRODUCT(_xlfn._xlws.FILTER($L$593:Q$593,($L$43:Q$43=R$5)*1),_xlfn._xlws.FILTER($L606:Q606,($L$43:Q$43=R$5)*1))))/R$593),0)</f>
        <v>0</v>
      </c>
    </row>
    <row r="607" customFormat="false" ht="13.8" hidden="false" customHeight="false" outlineLevel="0" collapsed="false">
      <c r="A607" s="1"/>
      <c r="C607" s="1" t="e">
        <f aca="false">"Average "&amp;#REF!</f>
        <v>#REF!</v>
      </c>
      <c r="I607" s="14" t="s">
        <v>215</v>
      </c>
      <c r="K607" s="15" t="s">
        <v>33</v>
      </c>
      <c r="L607" s="12"/>
      <c r="M607" s="123" t="n">
        <f aca="false">IFERROR(IF(COUNTIFS(#REF!,M$5)&lt;&gt;0,SUMPRODUCT(#REF!,(#REF!),(#REF!=M$5)*1),(IF(SUM((N$43:$R$43=M$5)*1)=0,0,SUMPRODUCT(_xlfn._xlws.FILTER(N$593:$R$593,(N$43:$R$43=M$5)*1),_xlfn._xlws.FILTER(N607:$R607,(N$43:$R$43=M$5)*1)))+IF(SUM(($L$43:L$43=M$5)*1)=0,0,SUMPRODUCT(_xlfn._xlws.FILTER($L$593:L$593,($L$43:L$43=M$5)*1),_xlfn._xlws.FILTER($L607:L607,($L$43:L$43=M$5)*1))))/M$593),0)</f>
        <v>0</v>
      </c>
      <c r="N607" s="123" t="n">
        <f aca="false" t="array" ref="N607:N607">IFERROR(IF(COUNTIFS(#REF!,N$5)&lt;&gt;0,SUMPRODUCT(#REF!,(#REF!),(#REF!=N$5)*1),(IF(SUM((P$43:$R$43=N$5)*1)=0,0,SUMPRODUCT(_xlfn._xlws.FILTER(P$593:$R$593,(P$43:$R$43=N$5)*1),_xlfn._xlws.FILTER(P607:$R607,(P$43:$R$43=N$5)*1)))+IF(SUM(($L$43:M$43=N$5)*1)=0,0,SUMPRODUCT(_xlfn._xlws.FILTER($L$593:M$593,($L$43:M$43=N$5)*1),_xlfn._xlws.FILTER($L607:M607,($L$43:M$43=N$5)*1))))/N$593),0)</f>
        <v>0</v>
      </c>
      <c r="O607" s="123"/>
      <c r="P607" s="123" t="n">
        <f aca="false" t="array" ref="P607:P607">IFERROR(IF(COUNTIFS(#REF!,P$5)&lt;&gt;0,SUMPRODUCT(#REF!,(#REF!),(#REF!=P$5)*1),(IF(SUM((Q$43:$R$43=P$5)*1)=0,0,SUMPRODUCT(_xlfn._xlws.FILTER(Q$593:$R$593,(Q$43:$R$43=P$5)*1),_xlfn._xlws.FILTER(Q607:$R607,(Q$43:$R$43=P$5)*1)))+IF(SUM(($L$43:N$43=P$5)*1)=0,0,SUMPRODUCT(_xlfn._xlws.FILTER($L$593:N$593,($L$43:N$43=P$5)*1),_xlfn._xlws.FILTER($L607:N607,($L$43:N$43=P$5)*1))))/P$593),0)</f>
        <v>0</v>
      </c>
      <c r="Q607" s="123" t="n">
        <f aca="false">IFERROR(IF(COUNTIFS(#REF!,Q$5)&lt;&gt;0,SUMPRODUCT(#REF!,(#REF!),(#REF!=Q$5)*1),(IF(SUM((R$43:$R$43=Q$5)*1)=0,0,SUMPRODUCT(_xlfn._xlws.FILTER(R$593:$R$593,(R$43:$R$43=Q$5)*1),_xlfn._xlws.FILTER(R607:$R607,(R$43:$R$43=Q$5)*1)))+IF(SUM(($L$43:P$43=Q$5)*1)=0,0,SUMPRODUCT(_xlfn._xlws.FILTER($L$593:P$593,($L$43:P$43=Q$5)*1),_xlfn._xlws.FILTER($L607:P607,($L$43:P$43=Q$5)*1))))/Q$593),0)</f>
        <v>0</v>
      </c>
      <c r="R607" s="123" t="n">
        <f aca="false">IFERROR(IF(COUNTIFS(#REF!,R$5)&lt;&gt;0,SUMPRODUCT(#REF!,(#REF!),(#REF!=R$5)*1),(IF(SUM((#REF!=R$5)*1)=0,0,SUMPRODUCT(_xlfn._xlws.FILTER(#REF!,(#REF!=R$5)*1),_xlfn._xlws.FILTER(#REF!,(#REF!=R$5)*1)))+IF(SUM(($L$43:Q$43=R$5)*1)=0,0,SUMPRODUCT(_xlfn._xlws.FILTER($L$593:Q$593,($L$43:Q$43=R$5)*1),_xlfn._xlws.FILTER($L607:Q607,($L$43:Q$43=R$5)*1))))/R$593),0)</f>
        <v>0</v>
      </c>
    </row>
    <row r="608" customFormat="false" ht="13.8" hidden="false" customHeight="false" outlineLevel="0" collapsed="false">
      <c r="A608" s="1"/>
      <c r="B608" s="1"/>
      <c r="C608" s="1" t="str">
        <f aca="false">"First Drawdown phase "&amp;I608</f>
        <v>First Drawdown phase 1</v>
      </c>
      <c r="E608" s="1"/>
      <c r="H608" s="15" t="s">
        <v>232</v>
      </c>
      <c r="I608" s="102" t="n">
        <f aca="false" t="array" ref="I608:I615">ass_Model!$M$114:$M$121</f>
        <v>1</v>
      </c>
      <c r="J608" s="1"/>
      <c r="K608" s="15" t="s">
        <v>25</v>
      </c>
      <c r="L608" s="12"/>
      <c r="M608" s="111" t="e">
        <f aca="false">_xlfn.LET(_xlpm.a,_xlfn.MINIFS(#REF!,#REF!,M$5,#REF!,$I608),IF(_xlpm.a&lt;&gt;0,_xlpm.a,_xlfn.MINIFS(N608:$R608,N$43:$R$43,M$5,N608:$R608,"&lt;&gt;0")+_xlfn.MINIFS($L608:L608,$L$43:L$43,M$5,$L608:L608,"&lt;&gt;0")))</f>
        <v>#NAME?</v>
      </c>
      <c r="N608" s="111" t="e">
        <f aca="false">_xlfn.LET(_xlpm.a,_xlfn.MINIFS(#REF!,#REF!,N$5,#REF!,$I608),IF(_xlpm.a&lt;&gt;0,_xlpm.a,_xlfn.MINIFS(P608:$R608,P$43:$R$43,N$5,P608:$R608,"&lt;&gt;0")+_xlfn.MINIFS($L608:M608,$L$43:M$43,N$5,$L608:M608,"&lt;&gt;0")))</f>
        <v>#NAME?</v>
      </c>
      <c r="O608" s="111"/>
      <c r="P608" s="111" t="e">
        <f aca="false">_xlfn.LET(_xlpm.a,_xlfn.MINIFS(#REF!,#REF!,P$5,#REF!,$I608),IF(_xlpm.a&lt;&gt;0,_xlpm.a,_xlfn.MINIFS(Q608:$R608,Q$43:$R$43,P$5,Q608:$R608,"&lt;&gt;0")+_xlfn.MINIFS($L608:N608,$L$43:N$43,P$5,$L608:N608,"&lt;&gt;0")))</f>
        <v>#NAME?</v>
      </c>
      <c r="Q608" s="111" t="e">
        <f aca="false">_xlfn.LET(_xlpm.a,_xlfn.MINIFS(#REF!,#REF!,Q$5,#REF!,$I608),IF(_xlpm.a&lt;&gt;0,_xlpm.a,_xlfn.MINIFS(R608:$R608,R$43:$R$43,Q$5,R608:$R608,"&lt;&gt;0")+_xlfn.MINIFS($L608:P608,$L$43:P$43,Q$5,$L608:P608,"&lt;&gt;0")))</f>
        <v>#NAME?</v>
      </c>
      <c r="R608" s="111" t="e">
        <f aca="false">_xlfn.LET(_xlpm.a,_xlfn.MINIFS(#REF!,#REF!,R$5,#REF!,$I608),IF(_xlpm.a&lt;&gt;0,_xlpm.a,_xlfn.MINIFS(#REF!,#REF!,R$5,#REF!,"&lt;&gt;0")+_xlfn.MINIFS($L608:Q608,$L$43:Q$43,R$5,$L608:Q608,"&lt;&gt;0")))</f>
        <v>#NAME?</v>
      </c>
    </row>
    <row r="609" customFormat="false" ht="13.8" hidden="false" customHeight="false" outlineLevel="0" collapsed="false">
      <c r="A609" s="1"/>
      <c r="B609" s="1"/>
      <c r="C609" s="1" t="str">
        <f aca="false">"First Drawdown phase "&amp;I609</f>
        <v>First Drawdown phase 2</v>
      </c>
      <c r="D609" s="1"/>
      <c r="E609" s="1"/>
      <c r="H609" s="15" t="s">
        <v>232</v>
      </c>
      <c r="I609" s="102" t="n">
        <v>2</v>
      </c>
      <c r="J609" s="1"/>
      <c r="K609" s="15" t="s">
        <v>25</v>
      </c>
      <c r="L609" s="12"/>
      <c r="M609" s="111" t="e">
        <f aca="false">_xlfn.LET(_xlpm.a,_xlfn.MINIFS(#REF!,#REF!,M$5,#REF!,$I609),IF(_xlpm.a&lt;&gt;0,_xlpm.a,_xlfn.MINIFS(N609:$R609,N$43:$R$43,M$5,N609:$R609,"&lt;&gt;0")+_xlfn.MINIFS($L609:L609,$L$43:L$43,M$5,$L609:L609,"&lt;&gt;0")))</f>
        <v>#NAME?</v>
      </c>
      <c r="N609" s="111" t="e">
        <f aca="false">_xlfn.LET(_xlpm.a,_xlfn.MINIFS(#REF!,#REF!,N$5,#REF!,$I609),IF(_xlpm.a&lt;&gt;0,_xlpm.a,_xlfn.MINIFS(P609:$R609,P$43:$R$43,N$5,P609:$R609,"&lt;&gt;0")+_xlfn.MINIFS($L609:M609,$L$43:M$43,N$5,$L609:M609,"&lt;&gt;0")))</f>
        <v>#NAME?</v>
      </c>
      <c r="O609" s="111"/>
      <c r="P609" s="111" t="e">
        <f aca="false">_xlfn.LET(_xlpm.a,_xlfn.MINIFS(#REF!,#REF!,P$5,#REF!,$I609),IF(_xlpm.a&lt;&gt;0,_xlpm.a,_xlfn.MINIFS(Q609:$R609,Q$43:$R$43,P$5,Q609:$R609,"&lt;&gt;0")+_xlfn.MINIFS($L609:N609,$L$43:N$43,P$5,$L609:N609,"&lt;&gt;0")))</f>
        <v>#NAME?</v>
      </c>
      <c r="Q609" s="111" t="e">
        <f aca="false">_xlfn.LET(_xlpm.a,_xlfn.MINIFS(#REF!,#REF!,Q$5,#REF!,$I609),IF(_xlpm.a&lt;&gt;0,_xlpm.a,_xlfn.MINIFS(R609:$R609,R$43:$R$43,Q$5,R609:$R609,"&lt;&gt;0")+_xlfn.MINIFS($L609:P609,$L$43:P$43,Q$5,$L609:P609,"&lt;&gt;0")))</f>
        <v>#NAME?</v>
      </c>
      <c r="R609" s="111" t="e">
        <f aca="false">_xlfn.LET(_xlpm.a,_xlfn.MINIFS(#REF!,#REF!,R$5,#REF!,$I609),IF(_xlpm.a&lt;&gt;0,_xlpm.a,_xlfn.MINIFS(#REF!,#REF!,R$5,#REF!,"&lt;&gt;0")+_xlfn.MINIFS($L609:Q609,$L$43:Q$43,R$5,$L609:Q609,"&lt;&gt;0")))</f>
        <v>#NAME?</v>
      </c>
    </row>
    <row r="610" customFormat="false" ht="13.8" hidden="false" customHeight="false" outlineLevel="0" collapsed="false">
      <c r="A610" s="1"/>
      <c r="B610" s="1"/>
      <c r="C610" s="1" t="str">
        <f aca="false">"First Drawdown phase "&amp;I610</f>
        <v>First Drawdown phase 3</v>
      </c>
      <c r="D610" s="1"/>
      <c r="E610" s="1"/>
      <c r="H610" s="15" t="s">
        <v>232</v>
      </c>
      <c r="I610" s="102" t="n">
        <v>3</v>
      </c>
      <c r="J610" s="1"/>
      <c r="K610" s="15" t="s">
        <v>25</v>
      </c>
      <c r="L610" s="12"/>
      <c r="M610" s="111" t="e">
        <f aca="false">_xlfn.LET(_xlpm.a,_xlfn.MINIFS(#REF!,#REF!,M$5,#REF!,$I610),IF(_xlpm.a&lt;&gt;0,_xlpm.a,_xlfn.MINIFS(N610:$R610,N$43:$R$43,M$5,N610:$R610,"&lt;&gt;0")+_xlfn.MINIFS($L610:L610,$L$43:L$43,M$5,$L610:L610,"&lt;&gt;0")))</f>
        <v>#NAME?</v>
      </c>
      <c r="N610" s="111" t="e">
        <f aca="false">_xlfn.LET(_xlpm.a,_xlfn.MINIFS(#REF!,#REF!,N$5,#REF!,$I610),IF(_xlpm.a&lt;&gt;0,_xlpm.a,_xlfn.MINIFS(P610:$R610,P$43:$R$43,N$5,P610:$R610,"&lt;&gt;0")+_xlfn.MINIFS($L610:M610,$L$43:M$43,N$5,$L610:M610,"&lt;&gt;0")))</f>
        <v>#NAME?</v>
      </c>
      <c r="O610" s="111"/>
      <c r="P610" s="111" t="e">
        <f aca="false">_xlfn.LET(_xlpm.a,_xlfn.MINIFS(#REF!,#REF!,P$5,#REF!,$I610),IF(_xlpm.a&lt;&gt;0,_xlpm.a,_xlfn.MINIFS(Q610:$R610,Q$43:$R$43,P$5,Q610:$R610,"&lt;&gt;0")+_xlfn.MINIFS($L610:N610,$L$43:N$43,P$5,$L610:N610,"&lt;&gt;0")))</f>
        <v>#NAME?</v>
      </c>
      <c r="Q610" s="111" t="e">
        <f aca="false">_xlfn.LET(_xlpm.a,_xlfn.MINIFS(#REF!,#REF!,Q$5,#REF!,$I610),IF(_xlpm.a&lt;&gt;0,_xlpm.a,_xlfn.MINIFS(R610:$R610,R$43:$R$43,Q$5,R610:$R610,"&lt;&gt;0")+_xlfn.MINIFS($L610:P610,$L$43:P$43,Q$5,$L610:P610,"&lt;&gt;0")))</f>
        <v>#NAME?</v>
      </c>
      <c r="R610" s="111" t="e">
        <f aca="false">_xlfn.LET(_xlpm.a,_xlfn.MINIFS(#REF!,#REF!,R$5,#REF!,$I610),IF(_xlpm.a&lt;&gt;0,_xlpm.a,_xlfn.MINIFS(#REF!,#REF!,R$5,#REF!,"&lt;&gt;0")+_xlfn.MINIFS($L610:Q610,$L$43:Q$43,R$5,$L610:Q610,"&lt;&gt;0")))</f>
        <v>#NAME?</v>
      </c>
    </row>
    <row r="611" customFormat="false" ht="13.8" hidden="false" customHeight="false" outlineLevel="0" collapsed="false">
      <c r="A611" s="1"/>
      <c r="B611" s="1"/>
      <c r="C611" s="1" t="str">
        <f aca="false">"First Drawdown phase "&amp;I611</f>
        <v>First Drawdown phase 4</v>
      </c>
      <c r="D611" s="1"/>
      <c r="E611" s="1"/>
      <c r="H611" s="15" t="s">
        <v>232</v>
      </c>
      <c r="I611" s="102" t="n">
        <v>4</v>
      </c>
      <c r="J611" s="1"/>
      <c r="K611" s="15" t="s">
        <v>25</v>
      </c>
      <c r="L611" s="12"/>
      <c r="M611" s="111" t="e">
        <f aca="false">_xlfn.LET(_xlpm.a,_xlfn.MINIFS(#REF!,#REF!,M$5,#REF!,$I611),IF(_xlpm.a&lt;&gt;0,_xlpm.a,_xlfn.MINIFS(N611:$R611,N$43:$R$43,M$5,N611:$R611,"&lt;&gt;0")+_xlfn.MINIFS($L611:L611,$L$43:L$43,M$5,$L611:L611,"&lt;&gt;0")))</f>
        <v>#NAME?</v>
      </c>
      <c r="N611" s="111" t="e">
        <f aca="false">_xlfn.LET(_xlpm.a,_xlfn.MINIFS(#REF!,#REF!,N$5,#REF!,$I611),IF(_xlpm.a&lt;&gt;0,_xlpm.a,_xlfn.MINIFS(P611:$R611,P$43:$R$43,N$5,P611:$R611,"&lt;&gt;0")+_xlfn.MINIFS($L611:M611,$L$43:M$43,N$5,$L611:M611,"&lt;&gt;0")))</f>
        <v>#NAME?</v>
      </c>
      <c r="O611" s="111"/>
      <c r="P611" s="111" t="e">
        <f aca="false">_xlfn.LET(_xlpm.a,_xlfn.MINIFS(#REF!,#REF!,P$5,#REF!,$I611),IF(_xlpm.a&lt;&gt;0,_xlpm.a,_xlfn.MINIFS(Q611:$R611,Q$43:$R$43,P$5,Q611:$R611,"&lt;&gt;0")+_xlfn.MINIFS($L611:N611,$L$43:N$43,P$5,$L611:N611,"&lt;&gt;0")))</f>
        <v>#NAME?</v>
      </c>
      <c r="Q611" s="111" t="e">
        <f aca="false">_xlfn.LET(_xlpm.a,_xlfn.MINIFS(#REF!,#REF!,Q$5,#REF!,$I611),IF(_xlpm.a&lt;&gt;0,_xlpm.a,_xlfn.MINIFS(R611:$R611,R$43:$R$43,Q$5,R611:$R611,"&lt;&gt;0")+_xlfn.MINIFS($L611:P611,$L$43:P$43,Q$5,$L611:P611,"&lt;&gt;0")))</f>
        <v>#NAME?</v>
      </c>
      <c r="R611" s="111" t="e">
        <f aca="false">_xlfn.LET(_xlpm.a,_xlfn.MINIFS(#REF!,#REF!,R$5,#REF!,$I611),IF(_xlpm.a&lt;&gt;0,_xlpm.a,_xlfn.MINIFS(#REF!,#REF!,R$5,#REF!,"&lt;&gt;0")+_xlfn.MINIFS($L611:Q611,$L$43:Q$43,R$5,$L611:Q611,"&lt;&gt;0")))</f>
        <v>#NAME?</v>
      </c>
    </row>
    <row r="612" customFormat="false" ht="13.8" hidden="false" customHeight="false" outlineLevel="0" collapsed="false">
      <c r="A612" s="1"/>
      <c r="B612" s="1"/>
      <c r="C612" s="1" t="str">
        <f aca="false">"First Drawdown phase "&amp;I612</f>
        <v>First Drawdown phase 5</v>
      </c>
      <c r="D612" s="1"/>
      <c r="E612" s="1"/>
      <c r="H612" s="15" t="s">
        <v>232</v>
      </c>
      <c r="I612" s="102" t="n">
        <v>5</v>
      </c>
      <c r="J612" s="1"/>
      <c r="K612" s="15" t="s">
        <v>25</v>
      </c>
      <c r="L612" s="12"/>
      <c r="M612" s="111" t="e">
        <f aca="false">_xlfn.LET(_xlpm.a,_xlfn.MINIFS(#REF!,#REF!,M$5,#REF!,$I612),IF(_xlpm.a&lt;&gt;0,_xlpm.a,_xlfn.MINIFS(N612:$R612,N$43:$R$43,M$5,N612:$R612,"&lt;&gt;0")+_xlfn.MINIFS($L612:L612,$L$43:L$43,M$5,$L612:L612,"&lt;&gt;0")))</f>
        <v>#NAME?</v>
      </c>
      <c r="N612" s="111" t="e">
        <f aca="false">_xlfn.LET(_xlpm.a,_xlfn.MINIFS(#REF!,#REF!,N$5,#REF!,$I612),IF(_xlpm.a&lt;&gt;0,_xlpm.a,_xlfn.MINIFS(P612:$R612,P$43:$R$43,N$5,P612:$R612,"&lt;&gt;0")+_xlfn.MINIFS($L612:M612,$L$43:M$43,N$5,$L612:M612,"&lt;&gt;0")))</f>
        <v>#NAME?</v>
      </c>
      <c r="O612" s="111"/>
      <c r="P612" s="111" t="e">
        <f aca="false">_xlfn.LET(_xlpm.a,_xlfn.MINIFS(#REF!,#REF!,P$5,#REF!,$I612),IF(_xlpm.a&lt;&gt;0,_xlpm.a,_xlfn.MINIFS(Q612:$R612,Q$43:$R$43,P$5,Q612:$R612,"&lt;&gt;0")+_xlfn.MINIFS($L612:N612,$L$43:N$43,P$5,$L612:N612,"&lt;&gt;0")))</f>
        <v>#NAME?</v>
      </c>
      <c r="Q612" s="111" t="e">
        <f aca="false">_xlfn.LET(_xlpm.a,_xlfn.MINIFS(#REF!,#REF!,Q$5,#REF!,$I612),IF(_xlpm.a&lt;&gt;0,_xlpm.a,_xlfn.MINIFS(R612:$R612,R$43:$R$43,Q$5,R612:$R612,"&lt;&gt;0")+_xlfn.MINIFS($L612:P612,$L$43:P$43,Q$5,$L612:P612,"&lt;&gt;0")))</f>
        <v>#NAME?</v>
      </c>
      <c r="R612" s="111" t="e">
        <f aca="false">_xlfn.LET(_xlpm.a,_xlfn.MINIFS(#REF!,#REF!,R$5,#REF!,$I612),IF(_xlpm.a&lt;&gt;0,_xlpm.a,_xlfn.MINIFS(#REF!,#REF!,R$5,#REF!,"&lt;&gt;0")+_xlfn.MINIFS($L612:Q612,$L$43:Q$43,R$5,$L612:Q612,"&lt;&gt;0")))</f>
        <v>#NAME?</v>
      </c>
    </row>
    <row r="613" customFormat="false" ht="13.8" hidden="false" customHeight="false" outlineLevel="0" collapsed="false">
      <c r="A613" s="1"/>
      <c r="B613" s="1"/>
      <c r="C613" s="1" t="str">
        <f aca="false">"First Drawdown phase "&amp;I613</f>
        <v>First Drawdown phase 6</v>
      </c>
      <c r="D613" s="1"/>
      <c r="E613" s="1"/>
      <c r="H613" s="15" t="s">
        <v>232</v>
      </c>
      <c r="I613" s="102" t="n">
        <v>6</v>
      </c>
      <c r="J613" s="1"/>
      <c r="K613" s="15" t="s">
        <v>25</v>
      </c>
      <c r="L613" s="12"/>
      <c r="M613" s="111" t="e">
        <f aca="false">_xlfn.LET(_xlpm.a,_xlfn.MINIFS(#REF!,#REF!,M$5,#REF!,$I613),IF(_xlpm.a&lt;&gt;0,_xlpm.a,_xlfn.MINIFS(N613:$R613,N$43:$R$43,M$5,N613:$R613,"&lt;&gt;0")+_xlfn.MINIFS($L613:L613,$L$43:L$43,M$5,$L613:L613,"&lt;&gt;0")))</f>
        <v>#NAME?</v>
      </c>
      <c r="N613" s="111" t="e">
        <f aca="false">_xlfn.LET(_xlpm.a,_xlfn.MINIFS(#REF!,#REF!,N$5,#REF!,$I613),IF(_xlpm.a&lt;&gt;0,_xlpm.a,_xlfn.MINIFS(P613:$R613,P$43:$R$43,N$5,P613:$R613,"&lt;&gt;0")+_xlfn.MINIFS($L613:M613,$L$43:M$43,N$5,$L613:M613,"&lt;&gt;0")))</f>
        <v>#NAME?</v>
      </c>
      <c r="O613" s="111"/>
      <c r="P613" s="111" t="e">
        <f aca="false">_xlfn.LET(_xlpm.a,_xlfn.MINIFS(#REF!,#REF!,P$5,#REF!,$I613),IF(_xlpm.a&lt;&gt;0,_xlpm.a,_xlfn.MINIFS(Q613:$R613,Q$43:$R$43,P$5,Q613:$R613,"&lt;&gt;0")+_xlfn.MINIFS($L613:N613,$L$43:N$43,P$5,$L613:N613,"&lt;&gt;0")))</f>
        <v>#NAME?</v>
      </c>
      <c r="Q613" s="111" t="e">
        <f aca="false">_xlfn.LET(_xlpm.a,_xlfn.MINIFS(#REF!,#REF!,Q$5,#REF!,$I613),IF(_xlpm.a&lt;&gt;0,_xlpm.a,_xlfn.MINIFS(R613:$R613,R$43:$R$43,Q$5,R613:$R613,"&lt;&gt;0")+_xlfn.MINIFS($L613:P613,$L$43:P$43,Q$5,$L613:P613,"&lt;&gt;0")))</f>
        <v>#NAME?</v>
      </c>
      <c r="R613" s="111" t="e">
        <f aca="false">_xlfn.LET(_xlpm.a,_xlfn.MINIFS(#REF!,#REF!,R$5,#REF!,$I613),IF(_xlpm.a&lt;&gt;0,_xlpm.a,_xlfn.MINIFS(#REF!,#REF!,R$5,#REF!,"&lt;&gt;0")+_xlfn.MINIFS($L613:Q613,$L$43:Q$43,R$5,$L613:Q613,"&lt;&gt;0")))</f>
        <v>#NAME?</v>
      </c>
    </row>
    <row r="614" customFormat="false" ht="13.8" hidden="false" customHeight="false" outlineLevel="0" collapsed="false">
      <c r="A614" s="1"/>
      <c r="B614" s="1"/>
      <c r="C614" s="1" t="str">
        <f aca="false">"First Drawdown phase "&amp;I614</f>
        <v>First Drawdown phase 7</v>
      </c>
      <c r="D614" s="1"/>
      <c r="E614" s="1"/>
      <c r="H614" s="15" t="s">
        <v>232</v>
      </c>
      <c r="I614" s="102" t="n">
        <v>7</v>
      </c>
      <c r="J614" s="1"/>
      <c r="K614" s="15" t="s">
        <v>25</v>
      </c>
      <c r="L614" s="12"/>
      <c r="M614" s="111" t="e">
        <f aca="false">_xlfn.LET(_xlpm.a,_xlfn.MINIFS(#REF!,#REF!,M$5,#REF!,$I614),IF(_xlpm.a&lt;&gt;0,_xlpm.a,_xlfn.MINIFS(N614:$R614,N$43:$R$43,M$5,N614:$R614,"&lt;&gt;0")+_xlfn.MINIFS($L614:L614,$L$43:L$43,M$5,$L614:L614,"&lt;&gt;0")))</f>
        <v>#NAME?</v>
      </c>
      <c r="N614" s="111" t="e">
        <f aca="false">_xlfn.LET(_xlpm.a,_xlfn.MINIFS(#REF!,#REF!,N$5,#REF!,$I614),IF(_xlpm.a&lt;&gt;0,_xlpm.a,_xlfn.MINIFS(P614:$R614,P$43:$R$43,N$5,P614:$R614,"&lt;&gt;0")+_xlfn.MINIFS($L614:M614,$L$43:M$43,N$5,$L614:M614,"&lt;&gt;0")))</f>
        <v>#NAME?</v>
      </c>
      <c r="O614" s="111"/>
      <c r="P614" s="111" t="e">
        <f aca="false">_xlfn.LET(_xlpm.a,_xlfn.MINIFS(#REF!,#REF!,P$5,#REF!,$I614),IF(_xlpm.a&lt;&gt;0,_xlpm.a,_xlfn.MINIFS(Q614:$R614,Q$43:$R$43,P$5,Q614:$R614,"&lt;&gt;0")+_xlfn.MINIFS($L614:N614,$L$43:N$43,P$5,$L614:N614,"&lt;&gt;0")))</f>
        <v>#NAME?</v>
      </c>
      <c r="Q614" s="111" t="e">
        <f aca="false">_xlfn.LET(_xlpm.a,_xlfn.MINIFS(#REF!,#REF!,Q$5,#REF!,$I614),IF(_xlpm.a&lt;&gt;0,_xlpm.a,_xlfn.MINIFS(R614:$R614,R$43:$R$43,Q$5,R614:$R614,"&lt;&gt;0")+_xlfn.MINIFS($L614:P614,$L$43:P$43,Q$5,$L614:P614,"&lt;&gt;0")))</f>
        <v>#NAME?</v>
      </c>
      <c r="R614" s="111" t="e">
        <f aca="false">_xlfn.LET(_xlpm.a,_xlfn.MINIFS(#REF!,#REF!,R$5,#REF!,$I614),IF(_xlpm.a&lt;&gt;0,_xlpm.a,_xlfn.MINIFS(#REF!,#REF!,R$5,#REF!,"&lt;&gt;0")+_xlfn.MINIFS($L614:Q614,$L$43:Q$43,R$5,$L614:Q614,"&lt;&gt;0")))</f>
        <v>#NAME?</v>
      </c>
    </row>
    <row r="615" customFormat="false" ht="13.8" hidden="false" customHeight="false" outlineLevel="0" collapsed="false">
      <c r="A615" s="1"/>
      <c r="B615" s="1"/>
      <c r="C615" s="1" t="str">
        <f aca="false">"First Drawdown phase "&amp;I615</f>
        <v>First Drawdown phase 8</v>
      </c>
      <c r="D615" s="1"/>
      <c r="E615" s="1"/>
      <c r="H615" s="15" t="s">
        <v>232</v>
      </c>
      <c r="I615" s="102" t="n">
        <v>8</v>
      </c>
      <c r="J615" s="1"/>
      <c r="K615" s="15" t="s">
        <v>25</v>
      </c>
      <c r="L615" s="12"/>
      <c r="M615" s="111" t="e">
        <f aca="false">_xlfn.LET(_xlpm.a,_xlfn.MINIFS(#REF!,#REF!,M$5,#REF!,$I615),IF(_xlpm.a&lt;&gt;0,_xlpm.a,_xlfn.MINIFS(N615:$R615,N$43:$R$43,M$5,N615:$R615,"&lt;&gt;0")+_xlfn.MINIFS($L615:L615,$L$43:L$43,M$5,$L615:L615,"&lt;&gt;0")))</f>
        <v>#NAME?</v>
      </c>
      <c r="N615" s="111" t="e">
        <f aca="false">_xlfn.LET(_xlpm.a,_xlfn.MINIFS(#REF!,#REF!,N$5,#REF!,$I615),IF(_xlpm.a&lt;&gt;0,_xlpm.a,_xlfn.MINIFS(P615:$R615,P$43:$R$43,N$5,P615:$R615,"&lt;&gt;0")+_xlfn.MINIFS($L615:M615,$L$43:M$43,N$5,$L615:M615,"&lt;&gt;0")))</f>
        <v>#NAME?</v>
      </c>
      <c r="O615" s="111"/>
      <c r="P615" s="111" t="e">
        <f aca="false">_xlfn.LET(_xlpm.a,_xlfn.MINIFS(#REF!,#REF!,P$5,#REF!,$I615),IF(_xlpm.a&lt;&gt;0,_xlpm.a,_xlfn.MINIFS(Q615:$R615,Q$43:$R$43,P$5,Q615:$R615,"&lt;&gt;0")+_xlfn.MINIFS($L615:N615,$L$43:N$43,P$5,$L615:N615,"&lt;&gt;0")))</f>
        <v>#NAME?</v>
      </c>
      <c r="Q615" s="111" t="e">
        <f aca="false">_xlfn.LET(_xlpm.a,_xlfn.MINIFS(#REF!,#REF!,Q$5,#REF!,$I615),IF(_xlpm.a&lt;&gt;0,_xlpm.a,_xlfn.MINIFS(R615:$R615,R$43:$R$43,Q$5,R615:$R615,"&lt;&gt;0")+_xlfn.MINIFS($L615:P615,$L$43:P$43,Q$5,$L615:P615,"&lt;&gt;0")))</f>
        <v>#NAME?</v>
      </c>
      <c r="R615" s="111" t="e">
        <f aca="false">_xlfn.LET(_xlpm.a,_xlfn.MINIFS(#REF!,#REF!,R$5,#REF!,$I615),IF(_xlpm.a&lt;&gt;0,_xlpm.a,_xlfn.MINIFS(#REF!,#REF!,R$5,#REF!,"&lt;&gt;0")+_xlfn.MINIFS($L615:Q615,$L$43:Q$43,R$5,$L615:Q615,"&lt;&gt;0")))</f>
        <v>#NAME?</v>
      </c>
    </row>
    <row r="616" customFormat="false" ht="13.8" hidden="false" customHeight="false" outlineLevel="0" collapsed="false">
      <c r="L616" s="12"/>
    </row>
    <row r="617" customFormat="false" ht="13.8" hidden="false" customHeight="false" outlineLevel="0" collapsed="false">
      <c r="A617" s="1"/>
      <c r="B617" s="11" t="n">
        <f aca="false">B591+1</f>
        <v>13</v>
      </c>
      <c r="C617" s="11" t="s">
        <v>217</v>
      </c>
      <c r="D617" s="11"/>
      <c r="E617" s="11"/>
      <c r="F617" s="11"/>
      <c r="G617" s="11"/>
      <c r="H617" s="11"/>
      <c r="I617" s="11"/>
      <c r="J617" s="11"/>
      <c r="K617" s="11"/>
      <c r="L617" s="11"/>
      <c r="M617" s="11"/>
      <c r="N617" s="11"/>
      <c r="O617" s="11"/>
      <c r="P617" s="11"/>
      <c r="Q617" s="11"/>
      <c r="R617" s="11"/>
    </row>
  </sheetData>
  <conditionalFormatting sqref="M230:R230 M474:R474 M349:R349 M538 M248:R255 M338:R338 M214:R214 M237:R238 M377:R377 M380:R380 M385:R385 M394:R394 M412:R412 M414:R414 M343:R343 M345:R345 M357:R357 M288:R288 M234:R234 M188:R195 M204:R211 M171:R171 M182:R182 M140:R140 M51:R51 M66:R66 M83:R83 M69:R69 M4:R4">
    <cfRule type="expression" priority="2" aboveAverage="0" equalAverage="0" bottom="0" percent="0" rank="0" text="" dxfId="3">
      <formula>M4=1</formula>
    </cfRule>
    <cfRule type="expression" priority="3" aboveAverage="0" equalAverage="0" bottom="0" percent="0" rank="0" text="" dxfId="4">
      <formula>M4=0</formula>
    </cfRule>
  </conditionalFormatting>
  <conditionalFormatting sqref="M538 G589 M589:R589 I46:I47">
    <cfRule type="expression" priority="4" aboveAverage="0" equalAverage="0" bottom="0" percent="0" rank="0" text="" dxfId="0">
      <formula>ass_vehicle #REF!=0</formula>
    </cfRule>
    <cfRule type="expression" priority="5" aboveAverage="0" equalAverage="0" bottom="0" percent="0" rank="0" text="" dxfId="1">
      <formula>G46=1</formula>
    </cfRule>
    <cfRule type="expression" priority="6" aboveAverage="0" equalAverage="0" bottom="0" percent="0" rank="0" text="" dxfId="2">
      <formula>G46=0</formula>
    </cfRule>
  </conditionalFormatting>
  <conditionalFormatting sqref="M442:R442">
    <cfRule type="expression" priority="7" aboveAverage="0" equalAverage="0" bottom="0" percent="0" rank="0" text="" dxfId="3">
      <formula>M442=1</formula>
    </cfRule>
    <cfRule type="expression" priority="8" aboveAverage="0" equalAverage="0" bottom="0" percent="0" rank="0" text="" dxfId="4">
      <formula>M442=0</formula>
    </cfRule>
    <cfRule type="expression" priority="9" aboveAverage="0" equalAverage="0" bottom="0" percent="0" rank="0" text="" dxfId="0">
      <formula>ass_vehicle #REF!=0</formula>
    </cfRule>
    <cfRule type="expression" priority="10" aboveAverage="0" equalAverage="0" bottom="0" percent="0" rank="0" text="" dxfId="1">
      <formula>M442=1</formula>
    </cfRule>
    <cfRule type="expression" priority="11" aboveAverage="0" equalAverage="0" bottom="0" percent="0" rank="0" text="" dxfId="2">
      <formula>M442=0</formula>
    </cfRule>
  </conditionalFormatting>
  <conditionalFormatting sqref="P349:R349 M414:R414 M394:R394 M328:R328">
    <cfRule type="expression" priority="12" aboveAverage="0" equalAverage="0" bottom="0" percent="0" rank="0" text="" dxfId="3">
      <formula>M328=1</formula>
    </cfRule>
    <cfRule type="expression" priority="13" aboveAverage="0" equalAverage="0" bottom="0" percent="0" rank="0" text="" dxfId="4">
      <formula>M328=0</formula>
    </cfRule>
    <cfRule type="expression" priority="14" aboveAverage="0" equalAverage="0" bottom="0" percent="0" rank="0" text="" dxfId="3">
      <formula>M328=1</formula>
    </cfRule>
    <cfRule type="expression" priority="15" aboveAverage="0" equalAverage="0" bottom="0" percent="0" rank="0" text="" dxfId="4">
      <formula>M328=0</formula>
    </cfRule>
  </conditionalFormatting>
  <conditionalFormatting sqref="M538:R538">
    <cfRule type="expression" priority="16" aboveAverage="0" equalAverage="0" bottom="0" percent="0" rank="0" text="" dxfId="3">
      <formula>M538=1</formula>
    </cfRule>
    <cfRule type="expression" priority="17" aboveAverage="0" equalAverage="0" bottom="0" percent="0" rank="0" text="" dxfId="4">
      <formula>M538=0</formula>
    </cfRule>
    <cfRule type="expression" priority="18" aboveAverage="0" equalAverage="0" bottom="0" percent="0" rank="0" text="" dxfId="3">
      <formula>M538=1</formula>
    </cfRule>
    <cfRule type="expression" priority="19" aboveAverage="0" equalAverage="0" bottom="0" percent="0" rank="0" text="" dxfId="4">
      <formula>M538=0</formula>
    </cfRule>
    <cfRule type="expression" priority="20" aboveAverage="0" equalAverage="0" bottom="0" percent="0" rank="0" text="" dxfId="0">
      <formula>ass_vehicle #REF!=0</formula>
    </cfRule>
    <cfRule type="expression" priority="21" aboveAverage="0" equalAverage="0" bottom="0" percent="0" rank="0" text="" dxfId="1">
      <formula>M538=1</formula>
    </cfRule>
    <cfRule type="expression" priority="22" aboveAverage="0" equalAverage="0" bottom="0" percent="0" rank="0" text="" dxfId="2">
      <formula>M538=0</formula>
    </cfRule>
    <cfRule type="expression" priority="23" aboveAverage="0" equalAverage="0" bottom="0" percent="0" rank="0" text="" dxfId="3">
      <formula>M538=1</formula>
    </cfRule>
    <cfRule type="expression" priority="24" aboveAverage="0" equalAverage="0" bottom="0" percent="0" rank="0" text="" dxfId="4">
      <formula>M538=0</formula>
    </cfRule>
    <cfRule type="expression" priority="25" aboveAverage="0" equalAverage="0" bottom="0" percent="0" rank="0" text="" dxfId="3">
      <formula>M538=1</formula>
    </cfRule>
    <cfRule type="expression" priority="26" aboveAverage="0" equalAverage="0" bottom="0" percent="0" rank="0" text="" dxfId="4">
      <formula>M538=0</formula>
    </cfRule>
    <cfRule type="expression" priority="27" aboveAverage="0" equalAverage="0" bottom="0" percent="0" rank="0" text="" dxfId="3">
      <formula>M538=1</formula>
    </cfRule>
    <cfRule type="expression" priority="28" aboveAverage="0" equalAverage="0" bottom="0" percent="0" rank="0" text="" dxfId="4">
      <formula>M538=0</formula>
    </cfRule>
    <cfRule type="expression" priority="29" aboveAverage="0" equalAverage="0" bottom="0" percent="0" rank="0" text="" dxfId="0">
      <formula>ass_vehicle #REF!=0</formula>
    </cfRule>
    <cfRule type="expression" priority="30" aboveAverage="0" equalAverage="0" bottom="0" percent="0" rank="0" text="" dxfId="1">
      <formula>M538=1</formula>
    </cfRule>
    <cfRule type="expression" priority="31" aboveAverage="0" equalAverage="0" bottom="0" percent="0" rank="0" text="" dxfId="2">
      <formula>M538=0</formula>
    </cfRule>
    <cfRule type="expression" priority="32" aboveAverage="0" equalAverage="0" bottom="0" percent="0" rank="0" text="" dxfId="3">
      <formula>M538=1</formula>
    </cfRule>
    <cfRule type="expression" priority="33" aboveAverage="0" equalAverage="0" bottom="0" percent="0" rank="0" text="" dxfId="4">
      <formula>M538=0</formula>
    </cfRule>
  </conditionalFormatting>
  <conditionalFormatting sqref="M3:R3">
    <cfRule type="expression" priority="34" aboveAverage="0" equalAverage="0" bottom="0" percent="0" rank="0" text="" dxfId="0">
      <formula>ass_vehicle #REF!=0</formula>
    </cfRule>
    <cfRule type="expression" priority="35" aboveAverage="0" equalAverage="0" bottom="0" percent="0" rank="0" text="" dxfId="1">
      <formula>M3=1</formula>
    </cfRule>
    <cfRule type="expression" priority="36" aboveAverage="0" equalAverage="0" bottom="0" percent="0" rank="0" text="" dxfId="2">
      <formula>M3=0</formula>
    </cfRule>
    <cfRule type="expression" priority="37" aboveAverage="0" equalAverage="0" bottom="0" percent="0" rank="0" text="" dxfId="0">
      <formula>ass_vehicle #REF!=0</formula>
    </cfRule>
    <cfRule type="expression" priority="38" aboveAverage="0" equalAverage="0" bottom="0" percent="0" rank="0" text="" dxfId="1">
      <formula>M3=1</formula>
    </cfRule>
    <cfRule type="expression" priority="39" aboveAverage="0" equalAverage="0" bottom="0" percent="0" rank="0" text="" dxfId="2">
      <formula>M3=0</formula>
    </cfRule>
  </conditionalFormatting>
  <conditionalFormatting sqref="P3:R3 M42:R42 M51 P51:R51 M66:M73 P66:R66 N67:R73 M77:R77 M140:R140 M171:R171 M182:R182 M188:M195 P188:R195 M204:M211 P204:R211 M230 P230:R230 M234 P234:R234 M288:R288 M309:R309 M343:R343 M345:R345 M357:R357 M377:R377 M380:R380 M385:R385 M394:R394 M412:R412 M414:R414">
    <cfRule type="expression" priority="40" aboveAverage="0" equalAverage="0" bottom="0" percent="0" rank="0" text="" dxfId="3">
      <formula>#REF!=1</formula>
    </cfRule>
    <cfRule type="expression" priority="41" aboveAverage="0" equalAverage="0" bottom="0" percent="0" rank="0" text="" dxfId="4">
      <formula>#REF!=0</formula>
    </cfRule>
  </conditionalFormatting>
  <conditionalFormatting sqref="N42:R42">
    <cfRule type="expression" priority="42" aboveAverage="0" equalAverage="0" bottom="0" percent="0" rank="0" text="" dxfId="3">
      <formula>N39=1</formula>
    </cfRule>
    <cfRule type="expression" priority="43" aboveAverage="0" equalAverage="0" bottom="0" percent="0" rank="0" text="" dxfId="4">
      <formula>N39=0</formula>
    </cfRule>
    <cfRule type="expression" priority="44" aboveAverage="0" equalAverage="0" bottom="0" percent="0" rank="0" text="" dxfId="0">
      <formula>ass_vehicle #REF!=0</formula>
    </cfRule>
    <cfRule type="expression" priority="45" aboveAverage="0" equalAverage="0" bottom="0" percent="0" rank="0" text="" dxfId="1">
      <formula>N39=1</formula>
    </cfRule>
    <cfRule type="expression" priority="46" aboveAverage="0" equalAverage="0" bottom="0" percent="0" rank="0" text="" dxfId="2">
      <formula>N39=0</formula>
    </cfRule>
  </conditionalFormatting>
  <conditionalFormatting sqref="P538:R538">
    <cfRule type="expression" priority="47" aboveAverage="0" equalAverage="0" bottom="0" percent="0" rank="0" text="" dxfId="3">
      <formula>P538=1</formula>
    </cfRule>
    <cfRule type="expression" priority="48" aboveAverage="0" equalAverage="0" bottom="0" percent="0" rank="0" text="" dxfId="4">
      <formula>P538=0</formula>
    </cfRule>
    <cfRule type="expression" priority="49" aboveAverage="0" equalAverage="0" bottom="0" percent="0" rank="0" text="" dxfId="3">
      <formula>P538=1</formula>
    </cfRule>
    <cfRule type="expression" priority="50" aboveAverage="0" equalAverage="0" bottom="0" percent="0" rank="0" text="" dxfId="4">
      <formula>P538=0</formula>
    </cfRule>
    <cfRule type="expression" priority="51" aboveAverage="0" equalAverage="0" bottom="0" percent="0" rank="0" text="" dxfId="0">
      <formula>ass_vehicle #REF!=0</formula>
    </cfRule>
    <cfRule type="expression" priority="52" aboveAverage="0" equalAverage="0" bottom="0" percent="0" rank="0" text="" dxfId="1">
      <formula>P538=1</formula>
    </cfRule>
    <cfRule type="expression" priority="53" aboveAverage="0" equalAverage="0" bottom="0" percent="0" rank="0" text="" dxfId="2">
      <formula>P538=0</formula>
    </cfRule>
    <cfRule type="expression" priority="54" aboveAverage="0" equalAverage="0" bottom="0" percent="0" rank="0" text="" dxfId="3">
      <formula>P538=1</formula>
    </cfRule>
    <cfRule type="expression" priority="55" aboveAverage="0" equalAverage="0" bottom="0" percent="0" rank="0" text="" dxfId="4">
      <formula>P538=0</formula>
    </cfRule>
    <cfRule type="expression" priority="56" aboveAverage="0" equalAverage="0" bottom="0" percent="0" rank="0" text="" dxfId="3">
      <formula>P538=1</formula>
    </cfRule>
    <cfRule type="expression" priority="57" aboveAverage="0" equalAverage="0" bottom="0" percent="0" rank="0" text="" dxfId="4">
      <formula>P538=0</formula>
    </cfRule>
    <cfRule type="expression" priority="58" aboveAverage="0" equalAverage="0" bottom="0" percent="0" rank="0" text="" dxfId="3">
      <formula>P538=1</formula>
    </cfRule>
    <cfRule type="expression" priority="59" aboveAverage="0" equalAverage="0" bottom="0" percent="0" rank="0" text="" dxfId="4">
      <formula>P538=0</formula>
    </cfRule>
    <cfRule type="expression" priority="60" aboveAverage="0" equalAverage="0" bottom="0" percent="0" rank="0" text="" dxfId="0">
      <formula>ass_vehicle #REF!=0</formula>
    </cfRule>
    <cfRule type="expression" priority="61" aboveAverage="0" equalAverage="0" bottom="0" percent="0" rank="0" text="" dxfId="1">
      <formula>P538=1</formula>
    </cfRule>
    <cfRule type="expression" priority="62" aboveAverage="0" equalAverage="0" bottom="0" percent="0" rank="0" text="" dxfId="2">
      <formula>P538=0</formula>
    </cfRule>
  </conditionalFormatting>
  <conditionalFormatting sqref="P3:R3 M42:R42 M46:R47">
    <cfRule type="expression" priority="63" aboveAverage="0" equalAverage="0" bottom="0" percent="0" rank="0" text="" dxfId="0">
      <formula>ass_vehicle #REF!=0</formula>
    </cfRule>
    <cfRule type="expression" priority="64" aboveAverage="0" equalAverage="0" bottom="0" percent="0" rank="0" text="" dxfId="1">
      <formula>#REF!=1</formula>
    </cfRule>
    <cfRule type="expression" priority="65" aboveAverage="0" equalAverage="0" bottom="0" percent="0" rank="0" text="" dxfId="2">
      <formula>#REF!=0</formula>
    </cfRule>
  </conditionalFormatting>
  <dataValidations count="11">
    <dataValidation allowBlank="true" errorStyle="stop" operator="equal" showDropDown="false" showErrorMessage="true" showInputMessage="true" sqref="M4:R4 M42:R42 M51:R51 M66:R73 M77:R77 M83:R83 M140:R140 M171:R171 M182:R182 M188:R195 M204:R211 M214:R214 M230:R230 M234:R234 M237:R238 M248:R255 M288:R288 M309:R309 M328:R328 M338:R338 M343:R343 M345:R345 M349:R349 M357:R357 M377:R377 M380:R380 M383:R383 M385:R385 M394:R394 M412:R412 M414:R414 M442:R442 M474:R474 M538:R538" type="list">
      <formula1>"VRAI,FAUX"</formula1>
      <formula2>0</formula2>
    </dataValidation>
    <dataValidation allowBlank="true" errorStyle="stop" operator="equal" showDropDown="false" showErrorMessage="true" showInputMessage="true" sqref="M6:R6" type="list">
      <formula1>"Holdco,SPV,First Holdco"</formula1>
      <formula2>0</formula2>
    </dataValidation>
    <dataValidation allowBlank="true" errorStyle="stop" operator="equal" showDropDown="false" showErrorMessage="true" showInputMessage="true" sqref="M90:R90" type="list">
      <formula1>"3,6,12"</formula1>
      <formula2>0</formula2>
    </dataValidation>
    <dataValidation allowBlank="true" errorStyle="stop" operator="equal" showDropDown="false" showErrorMessage="true" showInputMessage="true" sqref="N134:R135 M271:R271 N296:R296 M315:R315" type="list">
      <formula1>ass_Market!$N$131:Z$131</formula1>
      <formula2>0</formula2>
    </dataValidation>
    <dataValidation allowBlank="true" errorStyle="stop" operator="equal" showDropDown="false" showErrorMessage="true" showInputMessage="true" sqref="M136:R136 M168:R168 M184:R184 M274:R274 M299:R299 M318:R318 M337:R337 M384:R384 M386:R386 M413:R413" type="list">
      <formula1>"360,Exact"</formula1>
      <formula2>0</formula2>
    </dataValidation>
    <dataValidation allowBlank="true" errorStyle="stop" operator="equal" showDropDown="false" showErrorMessage="true" showInputMessage="true" sqref="M137:R137 M272:R272 M297:R297 M316:R316" type="list">
      <formula1>"Margin,Zero"</formula1>
      <formula2>0</formula2>
    </dataValidation>
    <dataValidation allowBlank="true" errorStyle="stop" operator="equal" showDropDown="false" showErrorMessage="true" showInputMessage="true" sqref="N183:R183 M437:R437" type="list">
      <formula1>ass_Market!$N$9:$T$9</formula1>
      <formula2>0</formula2>
    </dataValidation>
    <dataValidation allowBlank="true" errorStyle="stop" operator="equal" showDropDown="false" showErrorMessage="true" showInputMessage="true" sqref="M265:R265" type="list">
      <formula1>"Moy,Max"</formula1>
      <formula2>0</formula2>
    </dataValidation>
    <dataValidation allowBlank="true" errorStyle="stop" operator="equal" showDropDown="false" showErrorMessage="true" showInputMessage="true" sqref="M291:R291" type="list">
      <formula1>"Max utilisation,Max CAPEX"</formula1>
      <formula2>0</formula2>
    </dataValidation>
    <dataValidation allowBlank="true" errorStyle="stop" operator="equal" showDropDown="false" showErrorMessage="true" showInputMessage="true" sqref="N352:R352 M475:R476" type="list">
      <formula1>ass_Market!$N$73:$X$73</formula1>
      <formula2>0</formula2>
    </dataValidation>
    <dataValidation allowBlank="true" errorStyle="stop" operator="equal" showDropDown="false" showErrorMessage="true" showInputMessage="true" sqref="M378:R378" type="list">
      <formula1>"Debt,Capital"</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E3FF"/>
    <pageSetUpPr fitToPage="false"/>
  </sheetPr>
  <dimension ref="A1:BN693"/>
  <sheetViews>
    <sheetView showFormulas="false" showGridLines="false" showRowColHeaders="true" showZeros="true" rightToLeft="false" tabSelected="false" showOutlineSymbols="true" defaultGridColor="true" view="normal" topLeftCell="G75" colorId="64" zoomScale="100" zoomScaleNormal="100" zoomScalePageLayoutView="100" workbookViewId="0">
      <selection pane="topLeft" activeCell="P95" activeCellId="0" sqref="P95"/>
    </sheetView>
  </sheetViews>
  <sheetFormatPr defaultColWidth="11.43359375" defaultRowHeight="12.8" customHeight="true" zeroHeight="false" outlineLevelRow="1" outlineLevelCol="0"/>
  <cols>
    <col collapsed="false" customWidth="true" hidden="false" outlineLevel="0" max="1" min="1" style="5" width="28.73"/>
    <col collapsed="false" customWidth="true" hidden="false" outlineLevel="0" max="2" min="2" style="5" width="4.43"/>
    <col collapsed="false" customWidth="true" hidden="false" outlineLevel="0" max="3" min="3" style="5" width="38.43"/>
    <col collapsed="false" customWidth="true" hidden="false" outlineLevel="0" max="4" min="4" style="5" width="4.43"/>
    <col collapsed="false" customWidth="true" hidden="false" outlineLevel="0" max="5" min="5" style="5" width="12.43"/>
    <col collapsed="false" customWidth="true" hidden="false" outlineLevel="0" max="8" min="6" style="5" width="13.57"/>
    <col collapsed="false" customWidth="true" hidden="false" outlineLevel="0" max="10" min="9" style="5" width="19"/>
    <col collapsed="false" customWidth="true" hidden="false" outlineLevel="0" max="11" min="11" style="5" width="13.43"/>
    <col collapsed="false" customWidth="true" hidden="false" outlineLevel="0" max="12" min="12" style="5" width="2.43"/>
    <col collapsed="false" customWidth="true" hidden="false" outlineLevel="0" max="22" min="22" style="5" width="15.43"/>
    <col collapsed="false" customWidth="true" hidden="false" outlineLevel="0" max="23" min="23" style="5" width="14.43"/>
    <col collapsed="false" customWidth="true" hidden="false" outlineLevel="0" max="26" min="26" style="5" width="13.43"/>
    <col collapsed="false" customWidth="true" hidden="true" outlineLevel="0" max="67" min="47" style="5" width="11.53"/>
    <col collapsed="false" customWidth="false" hidden="true" outlineLevel="0" max="16384" min="68" style="5" width="11.43"/>
  </cols>
  <sheetData>
    <row r="1" customFormat="false" ht="13.8" hidden="false" customHeight="false" outlineLevel="0" collapsed="false">
      <c r="A1" s="1"/>
      <c r="B1" s="1"/>
      <c r="C1" s="1"/>
      <c r="D1" s="1"/>
      <c r="E1" s="1"/>
      <c r="F1" s="1"/>
      <c r="G1" s="1"/>
      <c r="H1" s="1"/>
      <c r="I1" s="1"/>
      <c r="J1" s="1"/>
      <c r="K1" s="1"/>
      <c r="L1" s="1"/>
      <c r="M1" s="1"/>
      <c r="N1" s="1"/>
    </row>
    <row r="2" customFormat="false" ht="13.8" hidden="false" customHeight="false" outlineLevel="0" collapsed="false">
      <c r="A2" s="1"/>
      <c r="B2" s="2"/>
      <c r="C2" s="2"/>
      <c r="D2" s="2"/>
      <c r="E2" s="2"/>
      <c r="F2" s="2"/>
      <c r="G2" s="2"/>
      <c r="H2" s="2"/>
      <c r="I2" s="2"/>
      <c r="J2" s="2"/>
      <c r="K2" s="2"/>
      <c r="L2" s="2"/>
      <c r="M2" s="2"/>
      <c r="N2" s="2"/>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row>
    <row r="3" customFormat="false" ht="13.8" hidden="false" customHeight="false" outlineLevel="0" collapsed="false">
      <c r="A3" s="1"/>
      <c r="B3" s="2"/>
      <c r="C3" s="2"/>
      <c r="D3" s="2"/>
      <c r="E3" s="2"/>
      <c r="F3" s="2"/>
      <c r="G3" s="2"/>
      <c r="H3" s="2"/>
      <c r="I3" s="2"/>
      <c r="J3" s="2"/>
      <c r="K3" s="2"/>
      <c r="L3" s="2"/>
      <c r="M3" s="2"/>
      <c r="N3" s="2"/>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row>
    <row r="4" customFormat="false" ht="13.8" hidden="false" customHeight="false" outlineLevel="0" collapsed="false">
      <c r="A4" s="1"/>
      <c r="B4" s="2"/>
      <c r="C4" s="2"/>
      <c r="D4" s="2"/>
      <c r="E4" s="2"/>
      <c r="F4" s="2"/>
      <c r="G4" s="2"/>
      <c r="H4" s="2"/>
      <c r="I4" s="2"/>
      <c r="J4" s="2"/>
      <c r="K4" s="84"/>
      <c r="L4" s="2"/>
      <c r="M4" s="2"/>
      <c r="N4" s="2"/>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row>
    <row r="5" customFormat="false" ht="13.8" hidden="false" customHeight="fals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customFormat="false" ht="13.8" hidden="false" customHeight="false" outlineLevel="0" collapsed="false">
      <c r="A6" s="1"/>
      <c r="B6" s="11" t="n">
        <v>1</v>
      </c>
      <c r="C6" s="11" t="s">
        <v>491</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row>
    <row r="7" customFormat="false" ht="13.8" hidden="false" customHeight="false" outlineLevel="1" collapsed="false">
      <c r="A7" s="1"/>
      <c r="B7" s="1"/>
      <c r="C7" s="1"/>
      <c r="D7" s="1"/>
      <c r="E7" s="1"/>
      <c r="F7" s="1"/>
      <c r="G7" s="1"/>
      <c r="H7" s="1"/>
      <c r="I7" s="1"/>
      <c r="J7" s="1"/>
      <c r="K7" s="1"/>
      <c r="L7" s="1"/>
      <c r="M7" s="1"/>
      <c r="N7" s="1"/>
      <c r="O7" s="1"/>
      <c r="P7" s="1"/>
      <c r="Q7" s="1"/>
      <c r="R7" s="1"/>
      <c r="S7" s="1"/>
      <c r="T7" s="1"/>
      <c r="U7" s="1"/>
    </row>
    <row r="8" customFormat="false" ht="13.8" hidden="false" customHeight="false" outlineLevel="1" collapsed="false">
      <c r="C8" s="6" t="s">
        <v>492</v>
      </c>
    </row>
    <row r="9" customFormat="false" ht="13.8" hidden="false" customHeight="false" outlineLevel="1" collapsed="false">
      <c r="A9" s="40" t="s">
        <v>493</v>
      </c>
      <c r="B9" s="1"/>
      <c r="C9" s="5" t="s">
        <v>494</v>
      </c>
      <c r="E9" s="15" t="s">
        <v>205</v>
      </c>
      <c r="F9" s="94" t="s">
        <v>206</v>
      </c>
      <c r="G9" s="86" t="str">
        <f aca="false">G$10*10^2&amp;"% IPC"</f>
        <v>20% IPC</v>
      </c>
      <c r="H9" s="86" t="str">
        <f aca="false">H$10*10^2&amp;"% IPC"</f>
        <v>30% IPC</v>
      </c>
      <c r="I9" s="86" t="str">
        <f aca="false">I$10*10^2&amp;"% IPC"</f>
        <v>40% IPC</v>
      </c>
      <c r="J9" s="94"/>
      <c r="K9" s="125"/>
      <c r="L9" s="94"/>
      <c r="M9" s="15" t="s">
        <v>205</v>
      </c>
      <c r="N9" s="86" t="str">
        <f aca="false" t="array" ref="N9:T9">F9:L9</f>
        <v>IPC</v>
      </c>
      <c r="O9" s="86" t="str">
        <v>20% IPC</v>
      </c>
      <c r="P9" s="86" t="str">
        <v>30% IPC</v>
      </c>
      <c r="Q9" s="86" t="str">
        <v>40% IPC</v>
      </c>
      <c r="R9" s="86" t="n">
        <v>0</v>
      </c>
      <c r="S9" s="86" t="n">
        <v>0</v>
      </c>
      <c r="T9" s="86" t="n">
        <v>0</v>
      </c>
      <c r="V9" s="15" t="s">
        <v>205</v>
      </c>
      <c r="W9" s="86" t="str">
        <f aca="false">N9</f>
        <v>IPC</v>
      </c>
      <c r="X9" s="86" t="str">
        <f aca="false">O9</f>
        <v>20% IPC</v>
      </c>
      <c r="Y9" s="86" t="str">
        <f aca="false">P9</f>
        <v>30% IPC</v>
      </c>
      <c r="Z9" s="86" t="str">
        <f aca="false">Q9</f>
        <v>40% IPC</v>
      </c>
      <c r="AA9" s="86" t="n">
        <f aca="false">R9</f>
        <v>0</v>
      </c>
      <c r="AB9" s="86" t="n">
        <f aca="false">S9</f>
        <v>0</v>
      </c>
      <c r="AC9" s="86" t="n">
        <f aca="false">T9</f>
        <v>0</v>
      </c>
    </row>
    <row r="10" customFormat="false" ht="13.8" hidden="false" customHeight="false" outlineLevel="1" collapsed="false">
      <c r="A10" s="40" t="s">
        <v>495</v>
      </c>
      <c r="B10" s="1"/>
      <c r="C10" s="1"/>
      <c r="E10" s="1"/>
      <c r="F10" s="1"/>
      <c r="G10" s="89" t="n">
        <v>0.2</v>
      </c>
      <c r="H10" s="89" t="n">
        <v>0.3</v>
      </c>
      <c r="I10" s="89" t="n">
        <v>0.4</v>
      </c>
      <c r="J10" s="1"/>
      <c r="K10" s="1"/>
      <c r="L10" s="1"/>
      <c r="M10" s="1"/>
      <c r="N10" s="1"/>
      <c r="O10" s="1"/>
      <c r="P10" s="1"/>
      <c r="Q10" s="1"/>
      <c r="R10" s="1"/>
      <c r="S10" s="1"/>
      <c r="T10" s="1"/>
      <c r="V10" s="1"/>
      <c r="W10" s="1"/>
      <c r="X10" s="1"/>
      <c r="Y10" s="1"/>
      <c r="Z10" s="1"/>
      <c r="AA10" s="1"/>
      <c r="AB10" s="1"/>
      <c r="AC10" s="1"/>
    </row>
    <row r="11" customFormat="false" ht="13.8" hidden="false" customHeight="false" outlineLevel="1" collapsed="false">
      <c r="A11" s="1"/>
      <c r="B11" s="14" t="s">
        <v>232</v>
      </c>
      <c r="C11" s="14" t="s">
        <v>148</v>
      </c>
      <c r="E11" s="1"/>
      <c r="F11" s="1"/>
      <c r="G11" s="1"/>
      <c r="H11" s="1"/>
      <c r="I11" s="1"/>
      <c r="J11" s="1"/>
      <c r="K11" s="1"/>
      <c r="L11" s="1"/>
      <c r="M11" s="1"/>
      <c r="N11" s="1"/>
      <c r="O11" s="1"/>
      <c r="P11" s="1"/>
      <c r="Q11" s="1"/>
      <c r="R11" s="1"/>
      <c r="S11" s="1"/>
      <c r="T11" s="1"/>
      <c r="V11" s="1"/>
      <c r="W11" s="1"/>
      <c r="X11" s="1"/>
      <c r="Y11" s="1"/>
      <c r="Z11" s="1"/>
      <c r="AA11" s="1"/>
      <c r="AB11" s="1"/>
      <c r="AC11" s="1"/>
    </row>
    <row r="12" customFormat="false" ht="13.8" hidden="false" customHeight="false" outlineLevel="1" collapsed="false">
      <c r="A12" s="40" t="s">
        <v>496</v>
      </c>
      <c r="B12" s="61" t="n">
        <v>1</v>
      </c>
      <c r="C12" s="86" t="n">
        <f aca="false">YEAR(Model_Start_Date)</f>
        <v>2025</v>
      </c>
      <c r="E12" s="15" t="s">
        <v>497</v>
      </c>
      <c r="F12" s="63" t="n">
        <v>0.02</v>
      </c>
      <c r="G12" s="18" t="n">
        <f aca="false">G$10*$F12</f>
        <v>0.004</v>
      </c>
      <c r="H12" s="18" t="n">
        <f aca="false">H$10*$F12</f>
        <v>0.006</v>
      </c>
      <c r="I12" s="18" t="n">
        <f aca="false">I$10*$F12</f>
        <v>0.008</v>
      </c>
      <c r="J12" s="63"/>
      <c r="K12" s="63"/>
      <c r="L12" s="63"/>
      <c r="M12" s="15" t="s">
        <v>497</v>
      </c>
      <c r="N12" s="18" t="n">
        <f aca="false" t="array" ref="N12:N63">IF(sensi=1,F$12:F$63+Dashboard!$M$139,F$12:F$63)</f>
        <v>0.02</v>
      </c>
      <c r="O12" s="18" t="n">
        <f aca="false" t="array" ref="O12:O63">IF(sensi=1,G$12:G$63+Dashboard!$M$139*$G$10,G$12:G$63)</f>
        <v>0.004</v>
      </c>
      <c r="P12" s="18" t="n">
        <f aca="false" t="array" ref="P12:P63">IF(sensi=1,H$12:H$63+Dashboard!$M$139,H$12:H$63)</f>
        <v>0.006</v>
      </c>
      <c r="Q12" s="18" t="n">
        <f aca="false" t="array" ref="Q12:Q63">IF(sensi=1,I$12:I$63+Dashboard!$M$139,I$12:I$63)</f>
        <v>0.008</v>
      </c>
      <c r="R12" s="18" t="n">
        <f aca="false" t="array" ref="R12:R63">IF(sensi=1,J$12:J$63+Dashboard!$M$139,J$12:J$63)</f>
        <v>0</v>
      </c>
      <c r="S12" s="18" t="n">
        <f aca="false" t="array" ref="S12:S63">IF(sensi=1,K$12:K$63+Dashboard!$M$139,K$12:K$63)</f>
        <v>0</v>
      </c>
      <c r="T12" s="18" t="n">
        <f aca="false" t="array" ref="T12:T63">IF(sensi=1,L$12:L$63+Dashboard!$M$139,L$12:L$63)</f>
        <v>0</v>
      </c>
      <c r="V12" s="15" t="s">
        <v>497</v>
      </c>
      <c r="W12" s="18" t="n">
        <f aca="false">IF($C12=YEAR(Model_Start_Date),1,W11*(1+N12))</f>
        <v>1</v>
      </c>
      <c r="X12" s="18" t="n">
        <f aca="false">IF($C12=YEAR(Model_Start_Date),1,X11*(1+O12))</f>
        <v>1</v>
      </c>
      <c r="Y12" s="18" t="n">
        <f aca="false">IF($C12=YEAR(Model_Start_Date),1,Y11*(1+P12))</f>
        <v>1</v>
      </c>
      <c r="Z12" s="18" t="n">
        <f aca="false">IF($C12=YEAR(Model_Start_Date),1,Z11*(1+Q12))</f>
        <v>1</v>
      </c>
      <c r="AA12" s="18" t="n">
        <f aca="false">IF($C12=YEAR(Model_Start_Date),1,AA11*(1+R12))</f>
        <v>1</v>
      </c>
      <c r="AB12" s="18" t="n">
        <f aca="false">IF($C12=YEAR(Model_Start_Date),1,AB11*(1+S12))</f>
        <v>1</v>
      </c>
      <c r="AC12" s="18" t="n">
        <f aca="false">IF($C12=YEAR(Model_Start_Date),1,AC11*(1+T12))</f>
        <v>1</v>
      </c>
    </row>
    <row r="13" customFormat="false" ht="13.8" hidden="false" customHeight="false" outlineLevel="1" collapsed="false">
      <c r="A13" s="1"/>
      <c r="B13" s="61" t="n">
        <f aca="false">B12+1</f>
        <v>2</v>
      </c>
      <c r="C13" s="86" t="n">
        <f aca="false">C12+1</f>
        <v>2026</v>
      </c>
      <c r="E13" s="15" t="s">
        <v>497</v>
      </c>
      <c r="F13" s="63" t="n">
        <v>0.02</v>
      </c>
      <c r="G13" s="18" t="n">
        <f aca="false">G$10*$F13</f>
        <v>0.004</v>
      </c>
      <c r="H13" s="18" t="n">
        <f aca="false">H$10*$F13</f>
        <v>0.006</v>
      </c>
      <c r="I13" s="18" t="n">
        <f aca="false">I$10*$F13</f>
        <v>0.008</v>
      </c>
      <c r="J13" s="63"/>
      <c r="K13" s="63"/>
      <c r="L13" s="63"/>
      <c r="M13" s="15" t="s">
        <v>497</v>
      </c>
      <c r="N13" s="18" t="n">
        <v>0.02</v>
      </c>
      <c r="O13" s="18" t="n">
        <v>0.004</v>
      </c>
      <c r="P13" s="18" t="n">
        <v>0.006</v>
      </c>
      <c r="Q13" s="18" t="n">
        <v>0.008</v>
      </c>
      <c r="R13" s="18" t="n">
        <v>0</v>
      </c>
      <c r="S13" s="18" t="n">
        <v>0</v>
      </c>
      <c r="T13" s="18" t="n">
        <v>0</v>
      </c>
      <c r="V13" s="15" t="s">
        <v>497</v>
      </c>
      <c r="W13" s="18" t="n">
        <f aca="false">IF($C13=YEAR(Model_Start_Date),1,W12*(1+N13))</f>
        <v>1.02</v>
      </c>
      <c r="X13" s="18" t="n">
        <f aca="false">IF($C13=YEAR(Model_Start_Date),1,X12*(1+O13))</f>
        <v>1.004</v>
      </c>
      <c r="Y13" s="18" t="n">
        <f aca="false">IF($C13=YEAR(Model_Start_Date),1,Y12*(1+P13))</f>
        <v>1.006</v>
      </c>
      <c r="Z13" s="18" t="n">
        <f aca="false">IF($C13=YEAR(Model_Start_Date),1,Z12*(1+Q13))</f>
        <v>1.008</v>
      </c>
      <c r="AA13" s="18" t="n">
        <f aca="false">IF($C13=YEAR(Model_Start_Date),1,AA12*(1+R13))</f>
        <v>1</v>
      </c>
      <c r="AB13" s="18" t="n">
        <f aca="false">IF($C13=YEAR(Model_Start_Date),1,AB12*(1+S13))</f>
        <v>1</v>
      </c>
      <c r="AC13" s="18" t="n">
        <f aca="false">IF($C13=YEAR(Model_Start_Date),1,AC12*(1+T13))</f>
        <v>1</v>
      </c>
    </row>
    <row r="14" customFormat="false" ht="13.8" hidden="false" customHeight="false" outlineLevel="1" collapsed="false">
      <c r="A14" s="1"/>
      <c r="B14" s="61" t="n">
        <f aca="false">B13+1</f>
        <v>3</v>
      </c>
      <c r="C14" s="86" t="n">
        <f aca="false">C13+1</f>
        <v>2027</v>
      </c>
      <c r="E14" s="15" t="s">
        <v>497</v>
      </c>
      <c r="F14" s="63" t="n">
        <v>0.02</v>
      </c>
      <c r="G14" s="18" t="n">
        <f aca="false">G$10*$F14</f>
        <v>0.004</v>
      </c>
      <c r="H14" s="18" t="n">
        <f aca="false">H$10*$F14</f>
        <v>0.006</v>
      </c>
      <c r="I14" s="18" t="n">
        <f aca="false">I$10*$F14</f>
        <v>0.008</v>
      </c>
      <c r="J14" s="63"/>
      <c r="K14" s="63"/>
      <c r="L14" s="63"/>
      <c r="M14" s="15" t="s">
        <v>497</v>
      </c>
      <c r="N14" s="18" t="n">
        <v>0.02</v>
      </c>
      <c r="O14" s="18" t="n">
        <v>0.004</v>
      </c>
      <c r="P14" s="18" t="n">
        <v>0.006</v>
      </c>
      <c r="Q14" s="18" t="n">
        <v>0.008</v>
      </c>
      <c r="R14" s="18" t="n">
        <v>0</v>
      </c>
      <c r="S14" s="18" t="n">
        <v>0</v>
      </c>
      <c r="T14" s="18" t="n">
        <v>0</v>
      </c>
      <c r="V14" s="15" t="s">
        <v>497</v>
      </c>
      <c r="W14" s="18" t="n">
        <f aca="false">IF($C14=YEAR(Model_Start_Date),1,W13*(1+N14))</f>
        <v>1.0404</v>
      </c>
      <c r="X14" s="18" t="n">
        <f aca="false">IF($C14=YEAR(Model_Start_Date),1,X13*(1+O14))</f>
        <v>1.008016</v>
      </c>
      <c r="Y14" s="18" t="n">
        <f aca="false">IF($C14=YEAR(Model_Start_Date),1,Y13*(1+P14))</f>
        <v>1.012036</v>
      </c>
      <c r="Z14" s="18" t="n">
        <f aca="false">IF($C14=YEAR(Model_Start_Date),1,Z13*(1+Q14))</f>
        <v>1.016064</v>
      </c>
      <c r="AA14" s="18" t="n">
        <f aca="false">IF($C14=YEAR(Model_Start_Date),1,AA13*(1+R14))</f>
        <v>1</v>
      </c>
      <c r="AB14" s="18" t="n">
        <f aca="false">IF($C14=YEAR(Model_Start_Date),1,AB13*(1+S14))</f>
        <v>1</v>
      </c>
      <c r="AC14" s="18" t="n">
        <f aca="false">IF($C14=YEAR(Model_Start_Date),1,AC13*(1+T14))</f>
        <v>1</v>
      </c>
    </row>
    <row r="15" customFormat="false" ht="13.8" hidden="false" customHeight="false" outlineLevel="1" collapsed="false">
      <c r="A15" s="1"/>
      <c r="B15" s="61" t="n">
        <f aca="false">B14+1</f>
        <v>4</v>
      </c>
      <c r="C15" s="86" t="n">
        <f aca="false">C14+1</f>
        <v>2028</v>
      </c>
      <c r="E15" s="15" t="s">
        <v>497</v>
      </c>
      <c r="F15" s="63" t="n">
        <v>0.02</v>
      </c>
      <c r="G15" s="18" t="n">
        <f aca="false">G$10*$F15</f>
        <v>0.004</v>
      </c>
      <c r="H15" s="18" t="n">
        <f aca="false">H$10*$F15</f>
        <v>0.006</v>
      </c>
      <c r="I15" s="18" t="n">
        <f aca="false">I$10*$F15</f>
        <v>0.008</v>
      </c>
      <c r="J15" s="63"/>
      <c r="K15" s="63"/>
      <c r="L15" s="63"/>
      <c r="M15" s="15" t="s">
        <v>497</v>
      </c>
      <c r="N15" s="18" t="n">
        <v>0.02</v>
      </c>
      <c r="O15" s="18" t="n">
        <v>0.004</v>
      </c>
      <c r="P15" s="18" t="n">
        <v>0.006</v>
      </c>
      <c r="Q15" s="18" t="n">
        <v>0.008</v>
      </c>
      <c r="R15" s="18" t="n">
        <v>0</v>
      </c>
      <c r="S15" s="18" t="n">
        <v>0</v>
      </c>
      <c r="T15" s="18" t="n">
        <v>0</v>
      </c>
      <c r="V15" s="15" t="s">
        <v>497</v>
      </c>
      <c r="W15" s="18" t="n">
        <f aca="false">IF($C15=YEAR(Model_Start_Date),1,W14*(1+N15))</f>
        <v>1.061208</v>
      </c>
      <c r="X15" s="18" t="n">
        <f aca="false">IF($C15=YEAR(Model_Start_Date),1,X14*(1+O15))</f>
        <v>1.012048064</v>
      </c>
      <c r="Y15" s="18" t="n">
        <f aca="false">IF($C15=YEAR(Model_Start_Date),1,Y14*(1+P15))</f>
        <v>1.018108216</v>
      </c>
      <c r="Z15" s="18" t="n">
        <f aca="false">IF($C15=YEAR(Model_Start_Date),1,Z14*(1+Q15))</f>
        <v>1.024192512</v>
      </c>
      <c r="AA15" s="18" t="n">
        <f aca="false">IF($C15=YEAR(Model_Start_Date),1,AA14*(1+R15))</f>
        <v>1</v>
      </c>
      <c r="AB15" s="18" t="n">
        <f aca="false">IF($C15=YEAR(Model_Start_Date),1,AB14*(1+S15))</f>
        <v>1</v>
      </c>
      <c r="AC15" s="18" t="n">
        <f aca="false">IF($C15=YEAR(Model_Start_Date),1,AC14*(1+T15))</f>
        <v>1</v>
      </c>
    </row>
    <row r="16" customFormat="false" ht="13.8" hidden="false" customHeight="false" outlineLevel="1" collapsed="false">
      <c r="A16" s="1"/>
      <c r="B16" s="61" t="n">
        <f aca="false">B15+1</f>
        <v>5</v>
      </c>
      <c r="C16" s="86" t="n">
        <f aca="false">C15+1</f>
        <v>2029</v>
      </c>
      <c r="E16" s="15" t="s">
        <v>497</v>
      </c>
      <c r="F16" s="63" t="n">
        <v>0.02</v>
      </c>
      <c r="G16" s="18" t="n">
        <f aca="false">G$10*$F16</f>
        <v>0.004</v>
      </c>
      <c r="H16" s="18" t="n">
        <f aca="false">H$10*$F16</f>
        <v>0.006</v>
      </c>
      <c r="I16" s="18" t="n">
        <f aca="false">I$10*$F16</f>
        <v>0.008</v>
      </c>
      <c r="J16" s="63"/>
      <c r="K16" s="63"/>
      <c r="L16" s="63"/>
      <c r="M16" s="15" t="s">
        <v>497</v>
      </c>
      <c r="N16" s="18" t="n">
        <v>0.02</v>
      </c>
      <c r="O16" s="18" t="n">
        <v>0.004</v>
      </c>
      <c r="P16" s="18" t="n">
        <v>0.006</v>
      </c>
      <c r="Q16" s="18" t="n">
        <v>0.008</v>
      </c>
      <c r="R16" s="18" t="n">
        <v>0</v>
      </c>
      <c r="S16" s="18" t="n">
        <v>0</v>
      </c>
      <c r="T16" s="18" t="n">
        <v>0</v>
      </c>
      <c r="V16" s="15" t="s">
        <v>497</v>
      </c>
      <c r="W16" s="18" t="n">
        <f aca="false">IF($C16=YEAR(Model_Start_Date),1,W15*(1+N16))</f>
        <v>1.08243216</v>
      </c>
      <c r="X16" s="18" t="n">
        <f aca="false">IF($C16=YEAR(Model_Start_Date),1,X15*(1+O16))</f>
        <v>1.016096256256</v>
      </c>
      <c r="Y16" s="18" t="n">
        <f aca="false">IF($C16=YEAR(Model_Start_Date),1,Y15*(1+P16))</f>
        <v>1.024216865296</v>
      </c>
      <c r="Z16" s="18" t="n">
        <f aca="false">IF($C16=YEAR(Model_Start_Date),1,Z15*(1+Q16))</f>
        <v>1.032386052096</v>
      </c>
      <c r="AA16" s="18" t="n">
        <f aca="false">IF($C16=YEAR(Model_Start_Date),1,AA15*(1+R16))</f>
        <v>1</v>
      </c>
      <c r="AB16" s="18" t="n">
        <f aca="false">IF($C16=YEAR(Model_Start_Date),1,AB15*(1+S16))</f>
        <v>1</v>
      </c>
      <c r="AC16" s="18" t="n">
        <f aca="false">IF($C16=YEAR(Model_Start_Date),1,AC15*(1+T16))</f>
        <v>1</v>
      </c>
    </row>
    <row r="17" customFormat="false" ht="13.8" hidden="false" customHeight="false" outlineLevel="1" collapsed="false">
      <c r="A17" s="1"/>
      <c r="B17" s="61" t="n">
        <f aca="false">B16+1</f>
        <v>6</v>
      </c>
      <c r="C17" s="86" t="n">
        <f aca="false">C16+1</f>
        <v>2030</v>
      </c>
      <c r="E17" s="15" t="s">
        <v>497</v>
      </c>
      <c r="F17" s="63" t="n">
        <v>0.02</v>
      </c>
      <c r="G17" s="18" t="n">
        <f aca="false">G$10*$F17</f>
        <v>0.004</v>
      </c>
      <c r="H17" s="18" t="n">
        <f aca="false">H$10*$F17</f>
        <v>0.006</v>
      </c>
      <c r="I17" s="18" t="n">
        <f aca="false">I$10*$F17</f>
        <v>0.008</v>
      </c>
      <c r="J17" s="63"/>
      <c r="K17" s="63"/>
      <c r="L17" s="63"/>
      <c r="M17" s="15" t="s">
        <v>497</v>
      </c>
      <c r="N17" s="18" t="n">
        <v>0.02</v>
      </c>
      <c r="O17" s="18" t="n">
        <v>0.004</v>
      </c>
      <c r="P17" s="18" t="n">
        <v>0.006</v>
      </c>
      <c r="Q17" s="18" t="n">
        <v>0.008</v>
      </c>
      <c r="R17" s="18" t="n">
        <v>0</v>
      </c>
      <c r="S17" s="18" t="n">
        <v>0</v>
      </c>
      <c r="T17" s="18" t="n">
        <v>0</v>
      </c>
      <c r="V17" s="15" t="s">
        <v>497</v>
      </c>
      <c r="W17" s="18" t="n">
        <f aca="false">IF($C17=YEAR(Model_Start_Date),1,W16*(1+N17))</f>
        <v>1.1040808032</v>
      </c>
      <c r="X17" s="18" t="n">
        <f aca="false">IF($C17=YEAR(Model_Start_Date),1,X16*(1+O17))</f>
        <v>1.02016064128102</v>
      </c>
      <c r="Y17" s="18" t="n">
        <f aca="false">IF($C17=YEAR(Model_Start_Date),1,Y16*(1+P17))</f>
        <v>1.03036216648778</v>
      </c>
      <c r="Z17" s="18" t="n">
        <f aca="false">IF($C17=YEAR(Model_Start_Date),1,Z16*(1+Q17))</f>
        <v>1.04064514051277</v>
      </c>
      <c r="AA17" s="18" t="n">
        <f aca="false">IF($C17=YEAR(Model_Start_Date),1,AA16*(1+R17))</f>
        <v>1</v>
      </c>
      <c r="AB17" s="18" t="n">
        <f aca="false">IF($C17=YEAR(Model_Start_Date),1,AB16*(1+S17))</f>
        <v>1</v>
      </c>
      <c r="AC17" s="18" t="n">
        <f aca="false">IF($C17=YEAR(Model_Start_Date),1,AC16*(1+T17))</f>
        <v>1</v>
      </c>
    </row>
    <row r="18" customFormat="false" ht="13.8" hidden="false" customHeight="false" outlineLevel="1" collapsed="false">
      <c r="A18" s="1"/>
      <c r="B18" s="61" t="n">
        <f aca="false">B17+1</f>
        <v>7</v>
      </c>
      <c r="C18" s="86" t="n">
        <f aca="false">C17+1</f>
        <v>2031</v>
      </c>
      <c r="E18" s="15" t="s">
        <v>497</v>
      </c>
      <c r="F18" s="63" t="n">
        <v>0.02</v>
      </c>
      <c r="G18" s="18" t="n">
        <f aca="false">G$10*$F18</f>
        <v>0.004</v>
      </c>
      <c r="H18" s="18" t="n">
        <f aca="false">H$10*$F18</f>
        <v>0.006</v>
      </c>
      <c r="I18" s="18" t="n">
        <f aca="false">I$10*$F18</f>
        <v>0.008</v>
      </c>
      <c r="J18" s="63"/>
      <c r="K18" s="63"/>
      <c r="L18" s="63"/>
      <c r="M18" s="15" t="s">
        <v>497</v>
      </c>
      <c r="N18" s="18" t="n">
        <v>0.02</v>
      </c>
      <c r="O18" s="18" t="n">
        <v>0.004</v>
      </c>
      <c r="P18" s="18" t="n">
        <v>0.006</v>
      </c>
      <c r="Q18" s="18" t="n">
        <v>0.008</v>
      </c>
      <c r="R18" s="18" t="n">
        <v>0</v>
      </c>
      <c r="S18" s="18" t="n">
        <v>0</v>
      </c>
      <c r="T18" s="18" t="n">
        <v>0</v>
      </c>
      <c r="V18" s="15" t="s">
        <v>497</v>
      </c>
      <c r="W18" s="18" t="n">
        <f aca="false">IF($C18=YEAR(Model_Start_Date),1,W17*(1+N18))</f>
        <v>1.126162419264</v>
      </c>
      <c r="X18" s="18" t="n">
        <f aca="false">IF($C18=YEAR(Model_Start_Date),1,X17*(1+O18))</f>
        <v>1.02424128384615</v>
      </c>
      <c r="Y18" s="18" t="n">
        <f aca="false">IF($C18=YEAR(Model_Start_Date),1,Y17*(1+P18))</f>
        <v>1.0365443394867</v>
      </c>
      <c r="Z18" s="18" t="n">
        <f aca="false">IF($C18=YEAR(Model_Start_Date),1,Z17*(1+Q18))</f>
        <v>1.04897030163687</v>
      </c>
      <c r="AA18" s="18" t="n">
        <f aca="false">IF($C18=YEAR(Model_Start_Date),1,AA17*(1+R18))</f>
        <v>1</v>
      </c>
      <c r="AB18" s="18" t="n">
        <f aca="false">IF($C18=YEAR(Model_Start_Date),1,AB17*(1+S18))</f>
        <v>1</v>
      </c>
      <c r="AC18" s="18" t="n">
        <f aca="false">IF($C18=YEAR(Model_Start_Date),1,AC17*(1+T18))</f>
        <v>1</v>
      </c>
    </row>
    <row r="19" customFormat="false" ht="13.8" hidden="false" customHeight="false" outlineLevel="1" collapsed="false">
      <c r="A19" s="1"/>
      <c r="B19" s="61" t="n">
        <f aca="false">B18+1</f>
        <v>8</v>
      </c>
      <c r="C19" s="86" t="n">
        <f aca="false">C18+1</f>
        <v>2032</v>
      </c>
      <c r="E19" s="15" t="s">
        <v>497</v>
      </c>
      <c r="F19" s="63" t="n">
        <v>0.02</v>
      </c>
      <c r="G19" s="18" t="n">
        <f aca="false">G$10*$F19</f>
        <v>0.004</v>
      </c>
      <c r="H19" s="18" t="n">
        <f aca="false">H$10*$F19</f>
        <v>0.006</v>
      </c>
      <c r="I19" s="18" t="n">
        <f aca="false">I$10*$F19</f>
        <v>0.008</v>
      </c>
      <c r="J19" s="63"/>
      <c r="K19" s="63"/>
      <c r="L19" s="63"/>
      <c r="M19" s="15" t="s">
        <v>497</v>
      </c>
      <c r="N19" s="18" t="n">
        <v>0.02</v>
      </c>
      <c r="O19" s="18" t="n">
        <v>0.004</v>
      </c>
      <c r="P19" s="18" t="n">
        <v>0.006</v>
      </c>
      <c r="Q19" s="18" t="n">
        <v>0.008</v>
      </c>
      <c r="R19" s="18" t="n">
        <v>0</v>
      </c>
      <c r="S19" s="18" t="n">
        <v>0</v>
      </c>
      <c r="T19" s="18" t="n">
        <v>0</v>
      </c>
      <c r="V19" s="15" t="s">
        <v>497</v>
      </c>
      <c r="W19" s="18" t="n">
        <f aca="false">IF($C19=YEAR(Model_Start_Date),1,W18*(1+N19))</f>
        <v>1.14868566764928</v>
      </c>
      <c r="X19" s="18" t="n">
        <f aca="false">IF($C19=YEAR(Model_Start_Date),1,X18*(1+O19))</f>
        <v>1.02833824898153</v>
      </c>
      <c r="Y19" s="18" t="n">
        <f aca="false">IF($C19=YEAR(Model_Start_Date),1,Y18*(1+P19))</f>
        <v>1.04276360552362</v>
      </c>
      <c r="Z19" s="18" t="n">
        <f aca="false">IF($C19=YEAR(Model_Start_Date),1,Z18*(1+Q19))</f>
        <v>1.05736206404997</v>
      </c>
      <c r="AA19" s="18" t="n">
        <f aca="false">IF($C19=YEAR(Model_Start_Date),1,AA18*(1+R19))</f>
        <v>1</v>
      </c>
      <c r="AB19" s="18" t="n">
        <f aca="false">IF($C19=YEAR(Model_Start_Date),1,AB18*(1+S19))</f>
        <v>1</v>
      </c>
      <c r="AC19" s="18" t="n">
        <f aca="false">IF($C19=YEAR(Model_Start_Date),1,AC18*(1+T19))</f>
        <v>1</v>
      </c>
    </row>
    <row r="20" customFormat="false" ht="13.8" hidden="false" customHeight="false" outlineLevel="1" collapsed="false">
      <c r="A20" s="1"/>
      <c r="B20" s="61" t="n">
        <f aca="false">B19+1</f>
        <v>9</v>
      </c>
      <c r="C20" s="86" t="n">
        <f aca="false">C19+1</f>
        <v>2033</v>
      </c>
      <c r="E20" s="15" t="s">
        <v>497</v>
      </c>
      <c r="F20" s="63" t="n">
        <v>0.02</v>
      </c>
      <c r="G20" s="18" t="n">
        <f aca="false">G$10*$F20</f>
        <v>0.004</v>
      </c>
      <c r="H20" s="18" t="n">
        <f aca="false">H$10*$F20</f>
        <v>0.006</v>
      </c>
      <c r="I20" s="18" t="n">
        <f aca="false">I$10*$F20</f>
        <v>0.008</v>
      </c>
      <c r="J20" s="63"/>
      <c r="K20" s="63"/>
      <c r="L20" s="63"/>
      <c r="M20" s="15" t="s">
        <v>497</v>
      </c>
      <c r="N20" s="18" t="n">
        <v>0.02</v>
      </c>
      <c r="O20" s="18" t="n">
        <v>0.004</v>
      </c>
      <c r="P20" s="18" t="n">
        <v>0.006</v>
      </c>
      <c r="Q20" s="18" t="n">
        <v>0.008</v>
      </c>
      <c r="R20" s="18" t="n">
        <v>0</v>
      </c>
      <c r="S20" s="18" t="n">
        <v>0</v>
      </c>
      <c r="T20" s="18" t="n">
        <v>0</v>
      </c>
      <c r="V20" s="15" t="s">
        <v>497</v>
      </c>
      <c r="W20" s="18" t="n">
        <f aca="false">IF($C20=YEAR(Model_Start_Date),1,W19*(1+N20))</f>
        <v>1.17165938100227</v>
      </c>
      <c r="X20" s="18" t="n">
        <f aca="false">IF($C20=YEAR(Model_Start_Date),1,X19*(1+O20))</f>
        <v>1.03245160197746</v>
      </c>
      <c r="Y20" s="18" t="n">
        <f aca="false">IF($C20=YEAR(Model_Start_Date),1,Y19*(1+P20))</f>
        <v>1.04902018715676</v>
      </c>
      <c r="Z20" s="18" t="n">
        <f aca="false">IF($C20=YEAR(Model_Start_Date),1,Z19*(1+Q20))</f>
        <v>1.06582096056237</v>
      </c>
      <c r="AA20" s="18" t="n">
        <f aca="false">IF($C20=YEAR(Model_Start_Date),1,AA19*(1+R20))</f>
        <v>1</v>
      </c>
      <c r="AB20" s="18" t="n">
        <f aca="false">IF($C20=YEAR(Model_Start_Date),1,AB19*(1+S20))</f>
        <v>1</v>
      </c>
      <c r="AC20" s="18" t="n">
        <f aca="false">IF($C20=YEAR(Model_Start_Date),1,AC19*(1+T20))</f>
        <v>1</v>
      </c>
    </row>
    <row r="21" customFormat="false" ht="13.8" hidden="false" customHeight="false" outlineLevel="1" collapsed="false">
      <c r="A21" s="1"/>
      <c r="B21" s="61" t="n">
        <f aca="false">B20+1</f>
        <v>10</v>
      </c>
      <c r="C21" s="86" t="n">
        <f aca="false">C20+1</f>
        <v>2034</v>
      </c>
      <c r="E21" s="15" t="s">
        <v>497</v>
      </c>
      <c r="F21" s="63" t="n">
        <v>0.02</v>
      </c>
      <c r="G21" s="18" t="n">
        <f aca="false">G$10*$F21</f>
        <v>0.004</v>
      </c>
      <c r="H21" s="18" t="n">
        <f aca="false">H$10*$F21</f>
        <v>0.006</v>
      </c>
      <c r="I21" s="18" t="n">
        <f aca="false">I$10*$F21</f>
        <v>0.008</v>
      </c>
      <c r="J21" s="63"/>
      <c r="K21" s="63"/>
      <c r="L21" s="63"/>
      <c r="M21" s="15" t="s">
        <v>497</v>
      </c>
      <c r="N21" s="18" t="n">
        <v>0.02</v>
      </c>
      <c r="O21" s="18" t="n">
        <v>0.004</v>
      </c>
      <c r="P21" s="18" t="n">
        <v>0.006</v>
      </c>
      <c r="Q21" s="18" t="n">
        <v>0.008</v>
      </c>
      <c r="R21" s="18" t="n">
        <v>0</v>
      </c>
      <c r="S21" s="18" t="n">
        <v>0</v>
      </c>
      <c r="T21" s="18" t="n">
        <v>0</v>
      </c>
      <c r="V21" s="15" t="s">
        <v>497</v>
      </c>
      <c r="W21" s="18" t="n">
        <f aca="false">IF($C21=YEAR(Model_Start_Date),1,W20*(1+N21))</f>
        <v>1.19509256862231</v>
      </c>
      <c r="X21" s="18" t="n">
        <f aca="false">IF($C21=YEAR(Model_Start_Date),1,X20*(1+O21))</f>
        <v>1.03658140838537</v>
      </c>
      <c r="Y21" s="18" t="n">
        <f aca="false">IF($C21=YEAR(Model_Start_Date),1,Y20*(1+P21))</f>
        <v>1.05531430827971</v>
      </c>
      <c r="Z21" s="18" t="n">
        <f aca="false">IF($C21=YEAR(Model_Start_Date),1,Z20*(1+Q21))</f>
        <v>1.07434752824686</v>
      </c>
      <c r="AA21" s="18" t="n">
        <f aca="false">IF($C21=YEAR(Model_Start_Date),1,AA20*(1+R21))</f>
        <v>1</v>
      </c>
      <c r="AB21" s="18" t="n">
        <f aca="false">IF($C21=YEAR(Model_Start_Date),1,AB20*(1+S21))</f>
        <v>1</v>
      </c>
      <c r="AC21" s="18" t="n">
        <f aca="false">IF($C21=YEAR(Model_Start_Date),1,AC20*(1+T21))</f>
        <v>1</v>
      </c>
    </row>
    <row r="22" customFormat="false" ht="13.8" hidden="false" customHeight="false" outlineLevel="1" collapsed="false">
      <c r="A22" s="1"/>
      <c r="B22" s="61" t="n">
        <f aca="false">B21+1</f>
        <v>11</v>
      </c>
      <c r="C22" s="86" t="n">
        <f aca="false">C21+1</f>
        <v>2035</v>
      </c>
      <c r="E22" s="15" t="s">
        <v>497</v>
      </c>
      <c r="F22" s="63" t="n">
        <v>0.02</v>
      </c>
      <c r="G22" s="18" t="n">
        <f aca="false">G$10*$F22</f>
        <v>0.004</v>
      </c>
      <c r="H22" s="18" t="n">
        <f aca="false">H$10*$F22</f>
        <v>0.006</v>
      </c>
      <c r="I22" s="18" t="n">
        <f aca="false">I$10*$F22</f>
        <v>0.008</v>
      </c>
      <c r="J22" s="63"/>
      <c r="K22" s="63"/>
      <c r="L22" s="63"/>
      <c r="M22" s="15" t="s">
        <v>497</v>
      </c>
      <c r="N22" s="18" t="n">
        <v>0.02</v>
      </c>
      <c r="O22" s="18" t="n">
        <v>0.004</v>
      </c>
      <c r="P22" s="18" t="n">
        <v>0.006</v>
      </c>
      <c r="Q22" s="18" t="n">
        <v>0.008</v>
      </c>
      <c r="R22" s="18" t="n">
        <v>0</v>
      </c>
      <c r="S22" s="18" t="n">
        <v>0</v>
      </c>
      <c r="T22" s="18" t="n">
        <v>0</v>
      </c>
      <c r="V22" s="15" t="s">
        <v>497</v>
      </c>
      <c r="W22" s="18" t="n">
        <f aca="false">IF($C22=YEAR(Model_Start_Date),1,W21*(1+N22))</f>
        <v>1.21899441999476</v>
      </c>
      <c r="X22" s="18" t="n">
        <f aca="false">IF($C22=YEAR(Model_Start_Date),1,X21*(1+O22))</f>
        <v>1.04072773401891</v>
      </c>
      <c r="Y22" s="18" t="n">
        <f aca="false">IF($C22=YEAR(Model_Start_Date),1,Y21*(1+P22))</f>
        <v>1.06164619412938</v>
      </c>
      <c r="Z22" s="18" t="n">
        <f aca="false">IF($C22=YEAR(Model_Start_Date),1,Z21*(1+Q22))</f>
        <v>1.08294230847284</v>
      </c>
      <c r="AA22" s="18" t="n">
        <f aca="false">IF($C22=YEAR(Model_Start_Date),1,AA21*(1+R22))</f>
        <v>1</v>
      </c>
      <c r="AB22" s="18" t="n">
        <f aca="false">IF($C22=YEAR(Model_Start_Date),1,AB21*(1+S22))</f>
        <v>1</v>
      </c>
      <c r="AC22" s="18" t="n">
        <f aca="false">IF($C22=YEAR(Model_Start_Date),1,AC21*(1+T22))</f>
        <v>1</v>
      </c>
    </row>
    <row r="23" customFormat="false" ht="13.8" hidden="false" customHeight="false" outlineLevel="1" collapsed="false">
      <c r="A23" s="1"/>
      <c r="B23" s="61" t="n">
        <f aca="false">B22+1</f>
        <v>12</v>
      </c>
      <c r="C23" s="86" t="n">
        <f aca="false">C22+1</f>
        <v>2036</v>
      </c>
      <c r="E23" s="15" t="s">
        <v>497</v>
      </c>
      <c r="F23" s="63" t="n">
        <v>0.02</v>
      </c>
      <c r="G23" s="18" t="n">
        <f aca="false">G$10*$F23</f>
        <v>0.004</v>
      </c>
      <c r="H23" s="18" t="n">
        <f aca="false">H$10*$F23</f>
        <v>0.006</v>
      </c>
      <c r="I23" s="18" t="n">
        <f aca="false">I$10*$F23</f>
        <v>0.008</v>
      </c>
      <c r="J23" s="63"/>
      <c r="K23" s="63"/>
      <c r="L23" s="63"/>
      <c r="M23" s="15" t="s">
        <v>497</v>
      </c>
      <c r="N23" s="18" t="n">
        <v>0.02</v>
      </c>
      <c r="O23" s="18" t="n">
        <v>0.004</v>
      </c>
      <c r="P23" s="18" t="n">
        <v>0.006</v>
      </c>
      <c r="Q23" s="18" t="n">
        <v>0.008</v>
      </c>
      <c r="R23" s="18" t="n">
        <v>0</v>
      </c>
      <c r="S23" s="18" t="n">
        <v>0</v>
      </c>
      <c r="T23" s="18" t="n">
        <v>0</v>
      </c>
      <c r="V23" s="15" t="s">
        <v>497</v>
      </c>
      <c r="W23" s="18" t="n">
        <f aca="false">IF($C23=YEAR(Model_Start_Date),1,W22*(1+N23))</f>
        <v>1.24337430839465</v>
      </c>
      <c r="X23" s="18" t="n">
        <f aca="false">IF($C23=YEAR(Model_Start_Date),1,X22*(1+O23))</f>
        <v>1.04489064495499</v>
      </c>
      <c r="Y23" s="18" t="n">
        <f aca="false">IF($C23=YEAR(Model_Start_Date),1,Y22*(1+P23))</f>
        <v>1.06801607129416</v>
      </c>
      <c r="Z23" s="18" t="n">
        <f aca="false">IF($C23=YEAR(Model_Start_Date),1,Z22*(1+Q23))</f>
        <v>1.09160584694062</v>
      </c>
      <c r="AA23" s="18" t="n">
        <f aca="false">IF($C23=YEAR(Model_Start_Date),1,AA22*(1+R23))</f>
        <v>1</v>
      </c>
      <c r="AB23" s="18" t="n">
        <f aca="false">IF($C23=YEAR(Model_Start_Date),1,AB22*(1+S23))</f>
        <v>1</v>
      </c>
      <c r="AC23" s="18" t="n">
        <f aca="false">IF($C23=YEAR(Model_Start_Date),1,AC22*(1+T23))</f>
        <v>1</v>
      </c>
    </row>
    <row r="24" customFormat="false" ht="13.8" hidden="false" customHeight="false" outlineLevel="1" collapsed="false">
      <c r="A24" s="1"/>
      <c r="B24" s="61" t="n">
        <f aca="false">B23+1</f>
        <v>13</v>
      </c>
      <c r="C24" s="86" t="n">
        <f aca="false">C23+1</f>
        <v>2037</v>
      </c>
      <c r="E24" s="15" t="s">
        <v>497</v>
      </c>
      <c r="F24" s="63" t="n">
        <v>0.02</v>
      </c>
      <c r="G24" s="18" t="n">
        <f aca="false">G$10*$F24</f>
        <v>0.004</v>
      </c>
      <c r="H24" s="18" t="n">
        <f aca="false">H$10*$F24</f>
        <v>0.006</v>
      </c>
      <c r="I24" s="18" t="n">
        <f aca="false">I$10*$F24</f>
        <v>0.008</v>
      </c>
      <c r="J24" s="63"/>
      <c r="K24" s="63"/>
      <c r="L24" s="63"/>
      <c r="M24" s="15" t="s">
        <v>497</v>
      </c>
      <c r="N24" s="18" t="n">
        <v>0.02</v>
      </c>
      <c r="O24" s="18" t="n">
        <v>0.004</v>
      </c>
      <c r="P24" s="18" t="n">
        <v>0.006</v>
      </c>
      <c r="Q24" s="18" t="n">
        <v>0.008</v>
      </c>
      <c r="R24" s="18" t="n">
        <v>0</v>
      </c>
      <c r="S24" s="18" t="n">
        <v>0</v>
      </c>
      <c r="T24" s="18" t="n">
        <v>0</v>
      </c>
      <c r="V24" s="15" t="s">
        <v>497</v>
      </c>
      <c r="W24" s="18" t="n">
        <f aca="false">IF($C24=YEAR(Model_Start_Date),1,W23*(1+N24))</f>
        <v>1.26824179456255</v>
      </c>
      <c r="X24" s="18" t="n">
        <f aca="false">IF($C24=YEAR(Model_Start_Date),1,X23*(1+O24))</f>
        <v>1.04907020753481</v>
      </c>
      <c r="Y24" s="18" t="n">
        <f aca="false">IF($C24=YEAR(Model_Start_Date),1,Y23*(1+P24))</f>
        <v>1.07442416772192</v>
      </c>
      <c r="Z24" s="18" t="n">
        <f aca="false">IF($C24=YEAR(Model_Start_Date),1,Z23*(1+Q24))</f>
        <v>1.10033869371615</v>
      </c>
      <c r="AA24" s="18" t="n">
        <f aca="false">IF($C24=YEAR(Model_Start_Date),1,AA23*(1+R24))</f>
        <v>1</v>
      </c>
      <c r="AB24" s="18" t="n">
        <f aca="false">IF($C24=YEAR(Model_Start_Date),1,AB23*(1+S24))</f>
        <v>1</v>
      </c>
      <c r="AC24" s="18" t="n">
        <f aca="false">IF($C24=YEAR(Model_Start_Date),1,AC23*(1+T24))</f>
        <v>1</v>
      </c>
    </row>
    <row r="25" customFormat="false" ht="13.8" hidden="false" customHeight="false" outlineLevel="1" collapsed="false">
      <c r="A25" s="1"/>
      <c r="B25" s="61" t="n">
        <f aca="false">B24+1</f>
        <v>14</v>
      </c>
      <c r="C25" s="86" t="n">
        <f aca="false">C24+1</f>
        <v>2038</v>
      </c>
      <c r="E25" s="15" t="s">
        <v>497</v>
      </c>
      <c r="F25" s="63" t="n">
        <v>0.02</v>
      </c>
      <c r="G25" s="18" t="n">
        <f aca="false">G$10*$F25</f>
        <v>0.004</v>
      </c>
      <c r="H25" s="18" t="n">
        <f aca="false">H$10*$F25</f>
        <v>0.006</v>
      </c>
      <c r="I25" s="18" t="n">
        <f aca="false">I$10*$F25</f>
        <v>0.008</v>
      </c>
      <c r="J25" s="63"/>
      <c r="K25" s="63"/>
      <c r="L25" s="63"/>
      <c r="M25" s="15" t="s">
        <v>497</v>
      </c>
      <c r="N25" s="18" t="n">
        <v>0.02</v>
      </c>
      <c r="O25" s="18" t="n">
        <v>0.004</v>
      </c>
      <c r="P25" s="18" t="n">
        <v>0.006</v>
      </c>
      <c r="Q25" s="18" t="n">
        <v>0.008</v>
      </c>
      <c r="R25" s="18" t="n">
        <v>0</v>
      </c>
      <c r="S25" s="18" t="n">
        <v>0</v>
      </c>
      <c r="T25" s="18" t="n">
        <v>0</v>
      </c>
      <c r="V25" s="15" t="s">
        <v>497</v>
      </c>
      <c r="W25" s="18" t="n">
        <f aca="false">IF($C25=YEAR(Model_Start_Date),1,W24*(1+N25))</f>
        <v>1.2936066304538</v>
      </c>
      <c r="X25" s="18" t="n">
        <f aca="false">IF($C25=YEAR(Model_Start_Date),1,X24*(1+O25))</f>
        <v>1.05326648836495</v>
      </c>
      <c r="Y25" s="18" t="n">
        <f aca="false">IF($C25=YEAR(Model_Start_Date),1,Y24*(1+P25))</f>
        <v>1.08087071272826</v>
      </c>
      <c r="Z25" s="18" t="n">
        <f aca="false">IF($C25=YEAR(Model_Start_Date),1,Z24*(1+Q25))</f>
        <v>1.10914140326588</v>
      </c>
      <c r="AA25" s="18" t="n">
        <f aca="false">IF($C25=YEAR(Model_Start_Date),1,AA24*(1+R25))</f>
        <v>1</v>
      </c>
      <c r="AB25" s="18" t="n">
        <f aca="false">IF($C25=YEAR(Model_Start_Date),1,AB24*(1+S25))</f>
        <v>1</v>
      </c>
      <c r="AC25" s="18" t="n">
        <f aca="false">IF($C25=YEAR(Model_Start_Date),1,AC24*(1+T25))</f>
        <v>1</v>
      </c>
    </row>
    <row r="26" customFormat="false" ht="13.8" hidden="false" customHeight="false" outlineLevel="1" collapsed="false">
      <c r="A26" s="1"/>
      <c r="B26" s="61" t="n">
        <f aca="false">B25+1</f>
        <v>15</v>
      </c>
      <c r="C26" s="86" t="n">
        <f aca="false">C25+1</f>
        <v>2039</v>
      </c>
      <c r="E26" s="15" t="s">
        <v>497</v>
      </c>
      <c r="F26" s="63" t="n">
        <v>0.02</v>
      </c>
      <c r="G26" s="18" t="n">
        <f aca="false">G$10*$F26</f>
        <v>0.004</v>
      </c>
      <c r="H26" s="18" t="n">
        <f aca="false">H$10*$F26</f>
        <v>0.006</v>
      </c>
      <c r="I26" s="18" t="n">
        <f aca="false">I$10*$F26</f>
        <v>0.008</v>
      </c>
      <c r="J26" s="63"/>
      <c r="K26" s="63"/>
      <c r="L26" s="63"/>
      <c r="M26" s="15" t="s">
        <v>497</v>
      </c>
      <c r="N26" s="18" t="n">
        <v>0.02</v>
      </c>
      <c r="O26" s="18" t="n">
        <v>0.004</v>
      </c>
      <c r="P26" s="18" t="n">
        <v>0.006</v>
      </c>
      <c r="Q26" s="18" t="n">
        <v>0.008</v>
      </c>
      <c r="R26" s="18" t="n">
        <v>0</v>
      </c>
      <c r="S26" s="18" t="n">
        <v>0</v>
      </c>
      <c r="T26" s="18" t="n">
        <v>0</v>
      </c>
      <c r="V26" s="15" t="s">
        <v>497</v>
      </c>
      <c r="W26" s="18" t="n">
        <f aca="false">IF($C26=YEAR(Model_Start_Date),1,W25*(1+N26))</f>
        <v>1.31947876306287</v>
      </c>
      <c r="X26" s="18" t="n">
        <f aca="false">IF($C26=YEAR(Model_Start_Date),1,X25*(1+O26))</f>
        <v>1.0574795543184</v>
      </c>
      <c r="Y26" s="18" t="n">
        <f aca="false">IF($C26=YEAR(Model_Start_Date),1,Y25*(1+P26))</f>
        <v>1.08735593700463</v>
      </c>
      <c r="Z26" s="18" t="n">
        <f aca="false">IF($C26=YEAR(Model_Start_Date),1,Z25*(1+Q26))</f>
        <v>1.118014534492</v>
      </c>
      <c r="AA26" s="18" t="n">
        <f aca="false">IF($C26=YEAR(Model_Start_Date),1,AA25*(1+R26))</f>
        <v>1</v>
      </c>
      <c r="AB26" s="18" t="n">
        <f aca="false">IF($C26=YEAR(Model_Start_Date),1,AB25*(1+S26))</f>
        <v>1</v>
      </c>
      <c r="AC26" s="18" t="n">
        <f aca="false">IF($C26=YEAR(Model_Start_Date),1,AC25*(1+T26))</f>
        <v>1</v>
      </c>
    </row>
    <row r="27" customFormat="false" ht="13.8" hidden="false" customHeight="false" outlineLevel="1" collapsed="false">
      <c r="A27" s="1"/>
      <c r="B27" s="61" t="n">
        <f aca="false">B26+1</f>
        <v>16</v>
      </c>
      <c r="C27" s="86" t="n">
        <f aca="false">C26+1</f>
        <v>2040</v>
      </c>
      <c r="E27" s="15" t="s">
        <v>497</v>
      </c>
      <c r="F27" s="63" t="n">
        <v>0.02</v>
      </c>
      <c r="G27" s="18" t="n">
        <f aca="false">G$10*$F27</f>
        <v>0.004</v>
      </c>
      <c r="H27" s="18" t="n">
        <f aca="false">H$10*$F27</f>
        <v>0.006</v>
      </c>
      <c r="I27" s="18" t="n">
        <f aca="false">I$10*$F27</f>
        <v>0.008</v>
      </c>
      <c r="J27" s="63"/>
      <c r="K27" s="63"/>
      <c r="L27" s="63"/>
      <c r="M27" s="15" t="s">
        <v>497</v>
      </c>
      <c r="N27" s="18" t="n">
        <v>0.02</v>
      </c>
      <c r="O27" s="18" t="n">
        <v>0.004</v>
      </c>
      <c r="P27" s="18" t="n">
        <v>0.006</v>
      </c>
      <c r="Q27" s="18" t="n">
        <v>0.008</v>
      </c>
      <c r="R27" s="18" t="n">
        <v>0</v>
      </c>
      <c r="S27" s="18" t="n">
        <v>0</v>
      </c>
      <c r="T27" s="18" t="n">
        <v>0</v>
      </c>
      <c r="V27" s="15" t="s">
        <v>497</v>
      </c>
      <c r="W27" s="18" t="n">
        <f aca="false">IF($C27=YEAR(Model_Start_Date),1,W26*(1+N27))</f>
        <v>1.34586833832413</v>
      </c>
      <c r="X27" s="18" t="n">
        <f aca="false">IF($C27=YEAR(Model_Start_Date),1,X26*(1+O27))</f>
        <v>1.06170947253568</v>
      </c>
      <c r="Y27" s="18" t="n">
        <f aca="false">IF($C27=YEAR(Model_Start_Date),1,Y26*(1+P27))</f>
        <v>1.09388007262665</v>
      </c>
      <c r="Z27" s="18" t="n">
        <f aca="false">IF($C27=YEAR(Model_Start_Date),1,Z26*(1+Q27))</f>
        <v>1.12695865076794</v>
      </c>
      <c r="AA27" s="18" t="n">
        <f aca="false">IF($C27=YEAR(Model_Start_Date),1,AA26*(1+R27))</f>
        <v>1</v>
      </c>
      <c r="AB27" s="18" t="n">
        <f aca="false">IF($C27=YEAR(Model_Start_Date),1,AB26*(1+S27))</f>
        <v>1</v>
      </c>
      <c r="AC27" s="18" t="n">
        <f aca="false">IF($C27=YEAR(Model_Start_Date),1,AC26*(1+T27))</f>
        <v>1</v>
      </c>
    </row>
    <row r="28" customFormat="false" ht="13.8" hidden="false" customHeight="false" outlineLevel="1" collapsed="false">
      <c r="A28" s="1"/>
      <c r="B28" s="61" t="n">
        <f aca="false">B27+1</f>
        <v>17</v>
      </c>
      <c r="C28" s="86" t="n">
        <f aca="false">C27+1</f>
        <v>2041</v>
      </c>
      <c r="E28" s="15" t="s">
        <v>497</v>
      </c>
      <c r="F28" s="63" t="n">
        <v>0.02</v>
      </c>
      <c r="G28" s="18" t="n">
        <f aca="false">G$10*$F28</f>
        <v>0.004</v>
      </c>
      <c r="H28" s="18" t="n">
        <f aca="false">H$10*$F28</f>
        <v>0.006</v>
      </c>
      <c r="I28" s="18" t="n">
        <f aca="false">I$10*$F28</f>
        <v>0.008</v>
      </c>
      <c r="J28" s="63"/>
      <c r="K28" s="63"/>
      <c r="L28" s="63"/>
      <c r="M28" s="15" t="s">
        <v>497</v>
      </c>
      <c r="N28" s="18" t="n">
        <v>0.02</v>
      </c>
      <c r="O28" s="18" t="n">
        <v>0.004</v>
      </c>
      <c r="P28" s="18" t="n">
        <v>0.006</v>
      </c>
      <c r="Q28" s="18" t="n">
        <v>0.008</v>
      </c>
      <c r="R28" s="18" t="n">
        <v>0</v>
      </c>
      <c r="S28" s="18" t="n">
        <v>0</v>
      </c>
      <c r="T28" s="18" t="n">
        <v>0</v>
      </c>
      <c r="V28" s="15" t="s">
        <v>497</v>
      </c>
      <c r="W28" s="18" t="n">
        <f aca="false">IF($C28=YEAR(Model_Start_Date),1,W27*(1+N28))</f>
        <v>1.37278570509061</v>
      </c>
      <c r="X28" s="18" t="n">
        <f aca="false">IF($C28=YEAR(Model_Start_Date),1,X27*(1+O28))</f>
        <v>1.06595631042582</v>
      </c>
      <c r="Y28" s="18" t="n">
        <f aca="false">IF($C28=YEAR(Model_Start_Date),1,Y27*(1+P28))</f>
        <v>1.10044335306241</v>
      </c>
      <c r="Z28" s="18" t="n">
        <f aca="false">IF($C28=YEAR(Model_Start_Date),1,Z27*(1+Q28))</f>
        <v>1.13597431997408</v>
      </c>
      <c r="AA28" s="18" t="n">
        <f aca="false">IF($C28=YEAR(Model_Start_Date),1,AA27*(1+R28))</f>
        <v>1</v>
      </c>
      <c r="AB28" s="18" t="n">
        <f aca="false">IF($C28=YEAR(Model_Start_Date),1,AB27*(1+S28))</f>
        <v>1</v>
      </c>
      <c r="AC28" s="18" t="n">
        <f aca="false">IF($C28=YEAR(Model_Start_Date),1,AC27*(1+T28))</f>
        <v>1</v>
      </c>
    </row>
    <row r="29" customFormat="false" ht="13.8" hidden="false" customHeight="false" outlineLevel="1" collapsed="false">
      <c r="A29" s="1"/>
      <c r="B29" s="61" t="n">
        <f aca="false">B28+1</f>
        <v>18</v>
      </c>
      <c r="C29" s="86" t="n">
        <f aca="false">C28+1</f>
        <v>2042</v>
      </c>
      <c r="E29" s="15" t="s">
        <v>497</v>
      </c>
      <c r="F29" s="63" t="n">
        <v>0.02</v>
      </c>
      <c r="G29" s="18" t="n">
        <f aca="false">G$10*$F29</f>
        <v>0.004</v>
      </c>
      <c r="H29" s="18" t="n">
        <f aca="false">H$10*$F29</f>
        <v>0.006</v>
      </c>
      <c r="I29" s="18" t="n">
        <f aca="false">I$10*$F29</f>
        <v>0.008</v>
      </c>
      <c r="J29" s="63"/>
      <c r="K29" s="63"/>
      <c r="L29" s="63"/>
      <c r="M29" s="15" t="s">
        <v>497</v>
      </c>
      <c r="N29" s="18" t="n">
        <v>0.02</v>
      </c>
      <c r="O29" s="18" t="n">
        <v>0.004</v>
      </c>
      <c r="P29" s="18" t="n">
        <v>0.006</v>
      </c>
      <c r="Q29" s="18" t="n">
        <v>0.008</v>
      </c>
      <c r="R29" s="18" t="n">
        <v>0</v>
      </c>
      <c r="S29" s="18" t="n">
        <v>0</v>
      </c>
      <c r="T29" s="18" t="n">
        <v>0</v>
      </c>
      <c r="V29" s="15" t="s">
        <v>497</v>
      </c>
      <c r="W29" s="18" t="n">
        <f aca="false">IF($C29=YEAR(Model_Start_Date),1,W28*(1+N29))</f>
        <v>1.40024141919242</v>
      </c>
      <c r="X29" s="18" t="n">
        <f aca="false">IF($C29=YEAR(Model_Start_Date),1,X28*(1+O29))</f>
        <v>1.07022013566752</v>
      </c>
      <c r="Y29" s="18" t="n">
        <f aca="false">IF($C29=YEAR(Model_Start_Date),1,Y28*(1+P29))</f>
        <v>1.10704601318079</v>
      </c>
      <c r="Z29" s="18" t="n">
        <f aca="false">IF($C29=YEAR(Model_Start_Date),1,Z28*(1+Q29))</f>
        <v>1.14506211453388</v>
      </c>
      <c r="AA29" s="18" t="n">
        <f aca="false">IF($C29=YEAR(Model_Start_Date),1,AA28*(1+R29))</f>
        <v>1</v>
      </c>
      <c r="AB29" s="18" t="n">
        <f aca="false">IF($C29=YEAR(Model_Start_Date),1,AB28*(1+S29))</f>
        <v>1</v>
      </c>
      <c r="AC29" s="18" t="n">
        <f aca="false">IF($C29=YEAR(Model_Start_Date),1,AC28*(1+T29))</f>
        <v>1</v>
      </c>
    </row>
    <row r="30" customFormat="false" ht="13.8" hidden="false" customHeight="false" outlineLevel="1" collapsed="false">
      <c r="A30" s="1" t="s">
        <v>498</v>
      </c>
      <c r="B30" s="61" t="n">
        <f aca="false">B29+1</f>
        <v>19</v>
      </c>
      <c r="C30" s="86" t="n">
        <f aca="false">C29+1</f>
        <v>2043</v>
      </c>
      <c r="E30" s="15" t="s">
        <v>497</v>
      </c>
      <c r="F30" s="63" t="n">
        <v>0.02</v>
      </c>
      <c r="G30" s="18" t="n">
        <f aca="false">G$10*$F30</f>
        <v>0.004</v>
      </c>
      <c r="H30" s="18" t="n">
        <f aca="false">H$10*$F30</f>
        <v>0.006</v>
      </c>
      <c r="I30" s="18" t="n">
        <f aca="false">I$10*$F30</f>
        <v>0.008</v>
      </c>
      <c r="J30" s="63"/>
      <c r="K30" s="63"/>
      <c r="L30" s="63"/>
      <c r="M30" s="15" t="s">
        <v>497</v>
      </c>
      <c r="N30" s="18" t="n">
        <v>0.02</v>
      </c>
      <c r="O30" s="18" t="n">
        <v>0.004</v>
      </c>
      <c r="P30" s="18" t="n">
        <v>0.006</v>
      </c>
      <c r="Q30" s="18" t="n">
        <v>0.008</v>
      </c>
      <c r="R30" s="18" t="n">
        <v>0</v>
      </c>
      <c r="S30" s="18" t="n">
        <v>0</v>
      </c>
      <c r="T30" s="18" t="n">
        <v>0</v>
      </c>
      <c r="V30" s="15" t="s">
        <v>497</v>
      </c>
      <c r="W30" s="18" t="n">
        <f aca="false">IF($C30=YEAR(Model_Start_Date),1,W29*(1+N30))</f>
        <v>1.42824624757627</v>
      </c>
      <c r="X30" s="18" t="n">
        <f aca="false">IF($C30=YEAR(Model_Start_Date),1,X29*(1+O30))</f>
        <v>1.07450101621019</v>
      </c>
      <c r="Y30" s="18" t="n">
        <f aca="false">IF($C30=YEAR(Model_Start_Date),1,Y29*(1+P30))</f>
        <v>1.11368828925987</v>
      </c>
      <c r="Z30" s="18" t="n">
        <f aca="false">IF($C30=YEAR(Model_Start_Date),1,Z29*(1+Q30))</f>
        <v>1.15422261145015</v>
      </c>
      <c r="AA30" s="18" t="n">
        <f aca="false">IF($C30=YEAR(Model_Start_Date),1,AA29*(1+R30))</f>
        <v>1</v>
      </c>
      <c r="AB30" s="18" t="n">
        <f aca="false">IF($C30=YEAR(Model_Start_Date),1,AB29*(1+S30))</f>
        <v>1</v>
      </c>
      <c r="AC30" s="18" t="n">
        <f aca="false">IF($C30=YEAR(Model_Start_Date),1,AC29*(1+T30))</f>
        <v>1</v>
      </c>
    </row>
    <row r="31" customFormat="false" ht="13.8" hidden="false" customHeight="false" outlineLevel="1" collapsed="false">
      <c r="A31" s="1"/>
      <c r="B31" s="61" t="n">
        <f aca="false">B30+1</f>
        <v>20</v>
      </c>
      <c r="C31" s="86" t="n">
        <f aca="false">C30+1</f>
        <v>2044</v>
      </c>
      <c r="E31" s="15" t="s">
        <v>497</v>
      </c>
      <c r="F31" s="63" t="n">
        <v>0.02</v>
      </c>
      <c r="G31" s="18" t="n">
        <f aca="false">G$10*$F31</f>
        <v>0.004</v>
      </c>
      <c r="H31" s="18" t="n">
        <f aca="false">H$10*$F31</f>
        <v>0.006</v>
      </c>
      <c r="I31" s="18" t="n">
        <f aca="false">I$10*$F31</f>
        <v>0.008</v>
      </c>
      <c r="J31" s="63"/>
      <c r="K31" s="63"/>
      <c r="L31" s="63"/>
      <c r="M31" s="15" t="s">
        <v>497</v>
      </c>
      <c r="N31" s="18" t="n">
        <v>0.02</v>
      </c>
      <c r="O31" s="18" t="n">
        <v>0.004</v>
      </c>
      <c r="P31" s="18" t="n">
        <v>0.006</v>
      </c>
      <c r="Q31" s="18" t="n">
        <v>0.008</v>
      </c>
      <c r="R31" s="18" t="n">
        <v>0</v>
      </c>
      <c r="S31" s="18" t="n">
        <v>0</v>
      </c>
      <c r="T31" s="18" t="n">
        <v>0</v>
      </c>
      <c r="V31" s="15" t="s">
        <v>497</v>
      </c>
      <c r="W31" s="18" t="n">
        <f aca="false">IF($C31=YEAR(Model_Start_Date),1,W30*(1+N31))</f>
        <v>1.4568111725278</v>
      </c>
      <c r="X31" s="18" t="n">
        <f aca="false">IF($C31=YEAR(Model_Start_Date),1,X30*(1+O31))</f>
        <v>1.07879902027504</v>
      </c>
      <c r="Y31" s="18" t="n">
        <f aca="false">IF($C31=YEAR(Model_Start_Date),1,Y30*(1+P31))</f>
        <v>1.12037041899543</v>
      </c>
      <c r="Z31" s="18" t="n">
        <f aca="false">IF($C31=YEAR(Model_Start_Date),1,Z30*(1+Q31))</f>
        <v>1.16345639234175</v>
      </c>
      <c r="AA31" s="18" t="n">
        <f aca="false">IF($C31=YEAR(Model_Start_Date),1,AA30*(1+R31))</f>
        <v>1</v>
      </c>
      <c r="AB31" s="18" t="n">
        <f aca="false">IF($C31=YEAR(Model_Start_Date),1,AB30*(1+S31))</f>
        <v>1</v>
      </c>
      <c r="AC31" s="18" t="n">
        <f aca="false">IF($C31=YEAR(Model_Start_Date),1,AC30*(1+T31))</f>
        <v>1</v>
      </c>
    </row>
    <row r="32" customFormat="false" ht="13.8" hidden="false" customHeight="false" outlineLevel="1" collapsed="false">
      <c r="A32" s="1"/>
      <c r="B32" s="61" t="n">
        <f aca="false">B31+1</f>
        <v>21</v>
      </c>
      <c r="C32" s="86" t="n">
        <f aca="false">C31+1</f>
        <v>2045</v>
      </c>
      <c r="E32" s="15" t="s">
        <v>497</v>
      </c>
      <c r="F32" s="63" t="n">
        <v>0.02</v>
      </c>
      <c r="G32" s="18" t="n">
        <f aca="false">G$10*$F32</f>
        <v>0.004</v>
      </c>
      <c r="H32" s="18" t="n">
        <f aca="false">H$10*$F32</f>
        <v>0.006</v>
      </c>
      <c r="I32" s="18" t="n">
        <f aca="false">I$10*$F32</f>
        <v>0.008</v>
      </c>
      <c r="J32" s="63"/>
      <c r="K32" s="63"/>
      <c r="L32" s="63"/>
      <c r="M32" s="15" t="s">
        <v>497</v>
      </c>
      <c r="N32" s="18" t="n">
        <v>0.02</v>
      </c>
      <c r="O32" s="18" t="n">
        <v>0.004</v>
      </c>
      <c r="P32" s="18" t="n">
        <v>0.006</v>
      </c>
      <c r="Q32" s="18" t="n">
        <v>0.008</v>
      </c>
      <c r="R32" s="18" t="n">
        <v>0</v>
      </c>
      <c r="S32" s="18" t="n">
        <v>0</v>
      </c>
      <c r="T32" s="18" t="n">
        <v>0</v>
      </c>
      <c r="V32" s="15" t="s">
        <v>497</v>
      </c>
      <c r="W32" s="18" t="n">
        <f aca="false">IF($C32=YEAR(Model_Start_Date),1,W31*(1+N32))</f>
        <v>1.48594739597836</v>
      </c>
      <c r="X32" s="18" t="n">
        <f aca="false">IF($C32=YEAR(Model_Start_Date),1,X31*(1+O32))</f>
        <v>1.08311421635614</v>
      </c>
      <c r="Y32" s="18" t="n">
        <f aca="false">IF($C32=YEAR(Model_Start_Date),1,Y31*(1+P32))</f>
        <v>1.1270926415094</v>
      </c>
      <c r="Z32" s="18" t="n">
        <f aca="false">IF($C32=YEAR(Model_Start_Date),1,Z31*(1+Q32))</f>
        <v>1.17276404348048</v>
      </c>
      <c r="AA32" s="18" t="n">
        <f aca="false">IF($C32=YEAR(Model_Start_Date),1,AA31*(1+R32))</f>
        <v>1</v>
      </c>
      <c r="AB32" s="18" t="n">
        <f aca="false">IF($C32=YEAR(Model_Start_Date),1,AB31*(1+S32))</f>
        <v>1</v>
      </c>
      <c r="AC32" s="18" t="n">
        <f aca="false">IF($C32=YEAR(Model_Start_Date),1,AC31*(1+T32))</f>
        <v>1</v>
      </c>
    </row>
    <row r="33" customFormat="false" ht="13.8" hidden="false" customHeight="false" outlineLevel="1" collapsed="false">
      <c r="A33" s="1"/>
      <c r="B33" s="61" t="n">
        <f aca="false">B32+1</f>
        <v>22</v>
      </c>
      <c r="C33" s="86" t="n">
        <f aca="false">C32+1</f>
        <v>2046</v>
      </c>
      <c r="E33" s="15" t="s">
        <v>497</v>
      </c>
      <c r="F33" s="63" t="n">
        <v>0.02</v>
      </c>
      <c r="G33" s="18" t="n">
        <f aca="false">G$10*$F33</f>
        <v>0.004</v>
      </c>
      <c r="H33" s="18" t="n">
        <f aca="false">H$10*$F33</f>
        <v>0.006</v>
      </c>
      <c r="I33" s="18" t="n">
        <f aca="false">I$10*$F33</f>
        <v>0.008</v>
      </c>
      <c r="J33" s="63"/>
      <c r="K33" s="63"/>
      <c r="L33" s="63"/>
      <c r="M33" s="15" t="s">
        <v>497</v>
      </c>
      <c r="N33" s="18" t="n">
        <v>0.02</v>
      </c>
      <c r="O33" s="18" t="n">
        <v>0.004</v>
      </c>
      <c r="P33" s="18" t="n">
        <v>0.006</v>
      </c>
      <c r="Q33" s="18" t="n">
        <v>0.008</v>
      </c>
      <c r="R33" s="18" t="n">
        <v>0</v>
      </c>
      <c r="S33" s="18" t="n">
        <v>0</v>
      </c>
      <c r="T33" s="18" t="n">
        <v>0</v>
      </c>
      <c r="V33" s="15" t="s">
        <v>497</v>
      </c>
      <c r="W33" s="18" t="n">
        <f aca="false">IF($C33=YEAR(Model_Start_Date),1,W32*(1+N33))</f>
        <v>1.51566634389792</v>
      </c>
      <c r="X33" s="18" t="n">
        <f aca="false">IF($C33=YEAR(Model_Start_Date),1,X32*(1+O33))</f>
        <v>1.08744667322156</v>
      </c>
      <c r="Y33" s="18" t="n">
        <f aca="false">IF($C33=YEAR(Model_Start_Date),1,Y32*(1+P33))</f>
        <v>1.13385519735846</v>
      </c>
      <c r="Z33" s="18" t="n">
        <f aca="false">IF($C33=YEAR(Model_Start_Date),1,Z32*(1+Q33))</f>
        <v>1.18214615582833</v>
      </c>
      <c r="AA33" s="18" t="n">
        <f aca="false">IF($C33=YEAR(Model_Start_Date),1,AA32*(1+R33))</f>
        <v>1</v>
      </c>
      <c r="AB33" s="18" t="n">
        <f aca="false">IF($C33=YEAR(Model_Start_Date),1,AB32*(1+S33))</f>
        <v>1</v>
      </c>
      <c r="AC33" s="18" t="n">
        <f aca="false">IF($C33=YEAR(Model_Start_Date),1,AC32*(1+T33))</f>
        <v>1</v>
      </c>
    </row>
    <row r="34" customFormat="false" ht="13.8" hidden="false" customHeight="false" outlineLevel="1" collapsed="false">
      <c r="A34" s="1"/>
      <c r="B34" s="61" t="n">
        <f aca="false">B33+1</f>
        <v>23</v>
      </c>
      <c r="C34" s="86" t="n">
        <f aca="false">C33+1</f>
        <v>2047</v>
      </c>
      <c r="E34" s="15" t="s">
        <v>497</v>
      </c>
      <c r="F34" s="63" t="n">
        <v>0.02</v>
      </c>
      <c r="G34" s="18" t="n">
        <f aca="false">G$10*$F34</f>
        <v>0.004</v>
      </c>
      <c r="H34" s="18" t="n">
        <f aca="false">H$10*$F34</f>
        <v>0.006</v>
      </c>
      <c r="I34" s="18" t="n">
        <f aca="false">I$10*$F34</f>
        <v>0.008</v>
      </c>
      <c r="J34" s="63"/>
      <c r="K34" s="63"/>
      <c r="L34" s="63"/>
      <c r="M34" s="15" t="s">
        <v>497</v>
      </c>
      <c r="N34" s="18" t="n">
        <v>0.02</v>
      </c>
      <c r="O34" s="18" t="n">
        <v>0.004</v>
      </c>
      <c r="P34" s="18" t="n">
        <v>0.006</v>
      </c>
      <c r="Q34" s="18" t="n">
        <v>0.008</v>
      </c>
      <c r="R34" s="18" t="n">
        <v>0</v>
      </c>
      <c r="S34" s="18" t="n">
        <v>0</v>
      </c>
      <c r="T34" s="18" t="n">
        <v>0</v>
      </c>
      <c r="V34" s="15" t="s">
        <v>497</v>
      </c>
      <c r="W34" s="18" t="n">
        <f aca="false">IF($C34=YEAR(Model_Start_Date),1,W33*(1+N34))</f>
        <v>1.54597967077588</v>
      </c>
      <c r="X34" s="18" t="n">
        <f aca="false">IF($C34=YEAR(Model_Start_Date),1,X33*(1+O34))</f>
        <v>1.09179645991445</v>
      </c>
      <c r="Y34" s="18" t="n">
        <f aca="false">IF($C34=YEAR(Model_Start_Date),1,Y33*(1+P34))</f>
        <v>1.14065832854261</v>
      </c>
      <c r="Z34" s="18" t="n">
        <f aca="false">IF($C34=YEAR(Model_Start_Date),1,Z33*(1+Q34))</f>
        <v>1.19160332507495</v>
      </c>
      <c r="AA34" s="18" t="n">
        <f aca="false">IF($C34=YEAR(Model_Start_Date),1,AA33*(1+R34))</f>
        <v>1</v>
      </c>
      <c r="AB34" s="18" t="n">
        <f aca="false">IF($C34=YEAR(Model_Start_Date),1,AB33*(1+S34))</f>
        <v>1</v>
      </c>
      <c r="AC34" s="18" t="n">
        <f aca="false">IF($C34=YEAR(Model_Start_Date),1,AC33*(1+T34))</f>
        <v>1</v>
      </c>
    </row>
    <row r="35" customFormat="false" ht="13.8" hidden="false" customHeight="false" outlineLevel="1" collapsed="false">
      <c r="A35" s="1"/>
      <c r="B35" s="61" t="n">
        <f aca="false">B34+1</f>
        <v>24</v>
      </c>
      <c r="C35" s="86" t="n">
        <f aca="false">C34+1</f>
        <v>2048</v>
      </c>
      <c r="E35" s="15" t="s">
        <v>497</v>
      </c>
      <c r="F35" s="63" t="n">
        <v>0.02</v>
      </c>
      <c r="G35" s="18" t="n">
        <f aca="false">G$10*$F35</f>
        <v>0.004</v>
      </c>
      <c r="H35" s="18" t="n">
        <f aca="false">H$10*$F35</f>
        <v>0.006</v>
      </c>
      <c r="I35" s="18" t="n">
        <f aca="false">I$10*$F35</f>
        <v>0.008</v>
      </c>
      <c r="J35" s="63"/>
      <c r="K35" s="63"/>
      <c r="L35" s="63"/>
      <c r="M35" s="15" t="s">
        <v>497</v>
      </c>
      <c r="N35" s="18" t="n">
        <v>0.02</v>
      </c>
      <c r="O35" s="18" t="n">
        <v>0.004</v>
      </c>
      <c r="P35" s="18" t="n">
        <v>0.006</v>
      </c>
      <c r="Q35" s="18" t="n">
        <v>0.008</v>
      </c>
      <c r="R35" s="18" t="n">
        <v>0</v>
      </c>
      <c r="S35" s="18" t="n">
        <v>0</v>
      </c>
      <c r="T35" s="18" t="n">
        <v>0</v>
      </c>
      <c r="V35" s="15" t="s">
        <v>497</v>
      </c>
      <c r="W35" s="18" t="n">
        <f aca="false">IF($C35=YEAR(Model_Start_Date),1,W34*(1+N35))</f>
        <v>1.5768992641914</v>
      </c>
      <c r="X35" s="18" t="n">
        <f aca="false">IF($C35=YEAR(Model_Start_Date),1,X34*(1+O35))</f>
        <v>1.0961636457541</v>
      </c>
      <c r="Y35" s="18" t="n">
        <f aca="false">IF($C35=YEAR(Model_Start_Date),1,Y34*(1+P35))</f>
        <v>1.14750227851387</v>
      </c>
      <c r="Z35" s="18" t="n">
        <f aca="false">IF($C35=YEAR(Model_Start_Date),1,Z34*(1+Q35))</f>
        <v>1.20113615167555</v>
      </c>
      <c r="AA35" s="18" t="n">
        <f aca="false">IF($C35=YEAR(Model_Start_Date),1,AA34*(1+R35))</f>
        <v>1</v>
      </c>
      <c r="AB35" s="18" t="n">
        <f aca="false">IF($C35=YEAR(Model_Start_Date),1,AB34*(1+S35))</f>
        <v>1</v>
      </c>
      <c r="AC35" s="18" t="n">
        <f aca="false">IF($C35=YEAR(Model_Start_Date),1,AC34*(1+T35))</f>
        <v>1</v>
      </c>
    </row>
    <row r="36" customFormat="false" ht="13.8" hidden="false" customHeight="false" outlineLevel="1" collapsed="false">
      <c r="A36" s="1"/>
      <c r="B36" s="61" t="n">
        <f aca="false">B35+1</f>
        <v>25</v>
      </c>
      <c r="C36" s="86" t="n">
        <f aca="false">C35+1</f>
        <v>2049</v>
      </c>
      <c r="E36" s="15" t="s">
        <v>497</v>
      </c>
      <c r="F36" s="63" t="n">
        <v>0.02</v>
      </c>
      <c r="G36" s="18" t="n">
        <f aca="false">G$10*$F36</f>
        <v>0.004</v>
      </c>
      <c r="H36" s="18" t="n">
        <f aca="false">H$10*$F36</f>
        <v>0.006</v>
      </c>
      <c r="I36" s="18" t="n">
        <f aca="false">I$10*$F36</f>
        <v>0.008</v>
      </c>
      <c r="J36" s="63"/>
      <c r="K36" s="63"/>
      <c r="L36" s="63"/>
      <c r="M36" s="15" t="s">
        <v>497</v>
      </c>
      <c r="N36" s="18" t="n">
        <v>0.02</v>
      </c>
      <c r="O36" s="18" t="n">
        <v>0.004</v>
      </c>
      <c r="P36" s="18" t="n">
        <v>0.006</v>
      </c>
      <c r="Q36" s="18" t="n">
        <v>0.008</v>
      </c>
      <c r="R36" s="18" t="n">
        <v>0</v>
      </c>
      <c r="S36" s="18" t="n">
        <v>0</v>
      </c>
      <c r="T36" s="18" t="n">
        <v>0</v>
      </c>
      <c r="V36" s="15" t="s">
        <v>497</v>
      </c>
      <c r="W36" s="18" t="n">
        <f aca="false">IF($C36=YEAR(Model_Start_Date),1,W35*(1+N36))</f>
        <v>1.60843724947523</v>
      </c>
      <c r="X36" s="18" t="n">
        <f aca="false">IF($C36=YEAR(Model_Start_Date),1,X35*(1+O36))</f>
        <v>1.10054830033712</v>
      </c>
      <c r="Y36" s="18" t="n">
        <f aca="false">IF($C36=YEAR(Model_Start_Date),1,Y35*(1+P36))</f>
        <v>1.15438729218495</v>
      </c>
      <c r="Z36" s="18" t="n">
        <f aca="false">IF($C36=YEAR(Model_Start_Date),1,Z35*(1+Q36))</f>
        <v>1.21074524088896</v>
      </c>
      <c r="AA36" s="18" t="n">
        <f aca="false">IF($C36=YEAR(Model_Start_Date),1,AA35*(1+R36))</f>
        <v>1</v>
      </c>
      <c r="AB36" s="18" t="n">
        <f aca="false">IF($C36=YEAR(Model_Start_Date),1,AB35*(1+S36))</f>
        <v>1</v>
      </c>
      <c r="AC36" s="18" t="n">
        <f aca="false">IF($C36=YEAR(Model_Start_Date),1,AC35*(1+T36))</f>
        <v>1</v>
      </c>
    </row>
    <row r="37" customFormat="false" ht="13.8" hidden="false" customHeight="false" outlineLevel="1" collapsed="false">
      <c r="A37" s="1"/>
      <c r="B37" s="61" t="n">
        <f aca="false">B36+1</f>
        <v>26</v>
      </c>
      <c r="C37" s="86" t="n">
        <f aca="false">C36+1</f>
        <v>2050</v>
      </c>
      <c r="E37" s="15" t="s">
        <v>497</v>
      </c>
      <c r="F37" s="63" t="n">
        <v>0.02</v>
      </c>
      <c r="G37" s="18" t="n">
        <f aca="false">G$10*$F37</f>
        <v>0.004</v>
      </c>
      <c r="H37" s="18" t="n">
        <f aca="false">H$10*$F37</f>
        <v>0.006</v>
      </c>
      <c r="I37" s="18" t="n">
        <f aca="false">I$10*$F37</f>
        <v>0.008</v>
      </c>
      <c r="J37" s="63"/>
      <c r="K37" s="63"/>
      <c r="L37" s="63"/>
      <c r="M37" s="15" t="s">
        <v>497</v>
      </c>
      <c r="N37" s="18" t="n">
        <v>0.02</v>
      </c>
      <c r="O37" s="18" t="n">
        <v>0.004</v>
      </c>
      <c r="P37" s="18" t="n">
        <v>0.006</v>
      </c>
      <c r="Q37" s="18" t="n">
        <v>0.008</v>
      </c>
      <c r="R37" s="18" t="n">
        <v>0</v>
      </c>
      <c r="S37" s="18" t="n">
        <v>0</v>
      </c>
      <c r="T37" s="18" t="n">
        <v>0</v>
      </c>
      <c r="V37" s="15" t="s">
        <v>497</v>
      </c>
      <c r="W37" s="18" t="n">
        <f aca="false">IF($C37=YEAR(Model_Start_Date),1,W36*(1+N37))</f>
        <v>1.64060599446473</v>
      </c>
      <c r="X37" s="18" t="n">
        <f aca="false">IF($C37=YEAR(Model_Start_Date),1,X36*(1+O37))</f>
        <v>1.10495049353847</v>
      </c>
      <c r="Y37" s="18" t="n">
        <f aca="false">IF($C37=YEAR(Model_Start_Date),1,Y36*(1+P37))</f>
        <v>1.16131361593806</v>
      </c>
      <c r="Z37" s="18" t="n">
        <f aca="false">IF($C37=YEAR(Model_Start_Date),1,Z36*(1+Q37))</f>
        <v>1.22043120281607</v>
      </c>
      <c r="AA37" s="18" t="n">
        <f aca="false">IF($C37=YEAR(Model_Start_Date),1,AA36*(1+R37))</f>
        <v>1</v>
      </c>
      <c r="AB37" s="18" t="n">
        <f aca="false">IF($C37=YEAR(Model_Start_Date),1,AB36*(1+S37))</f>
        <v>1</v>
      </c>
      <c r="AC37" s="18" t="n">
        <f aca="false">IF($C37=YEAR(Model_Start_Date),1,AC36*(1+T37))</f>
        <v>1</v>
      </c>
    </row>
    <row r="38" customFormat="false" ht="13.8" hidden="false" customHeight="false" outlineLevel="1" collapsed="false">
      <c r="A38" s="1"/>
      <c r="B38" s="61" t="n">
        <f aca="false">B37+1</f>
        <v>27</v>
      </c>
      <c r="C38" s="86" t="n">
        <f aca="false">C37+1</f>
        <v>2051</v>
      </c>
      <c r="E38" s="15" t="s">
        <v>497</v>
      </c>
      <c r="F38" s="63" t="n">
        <v>0.02</v>
      </c>
      <c r="G38" s="18" t="n">
        <f aca="false">G$10*$F38</f>
        <v>0.004</v>
      </c>
      <c r="H38" s="18" t="n">
        <f aca="false">H$10*$F38</f>
        <v>0.006</v>
      </c>
      <c r="I38" s="18" t="n">
        <f aca="false">I$10*$F38</f>
        <v>0.008</v>
      </c>
      <c r="J38" s="63"/>
      <c r="K38" s="63"/>
      <c r="L38" s="63"/>
      <c r="M38" s="15" t="s">
        <v>497</v>
      </c>
      <c r="N38" s="18" t="n">
        <v>0.02</v>
      </c>
      <c r="O38" s="18" t="n">
        <v>0.004</v>
      </c>
      <c r="P38" s="18" t="n">
        <v>0.006</v>
      </c>
      <c r="Q38" s="18" t="n">
        <v>0.008</v>
      </c>
      <c r="R38" s="18" t="n">
        <v>0</v>
      </c>
      <c r="S38" s="18" t="n">
        <v>0</v>
      </c>
      <c r="T38" s="18" t="n">
        <v>0</v>
      </c>
      <c r="V38" s="15" t="s">
        <v>497</v>
      </c>
      <c r="W38" s="18" t="n">
        <f aca="false">IF($C38=YEAR(Model_Start_Date),1,W37*(1+N38))</f>
        <v>1.67341811435403</v>
      </c>
      <c r="X38" s="18" t="n">
        <f aca="false">IF($C38=YEAR(Model_Start_Date),1,X37*(1+O38))</f>
        <v>1.10937029551262</v>
      </c>
      <c r="Y38" s="18" t="n">
        <f aca="false">IF($C38=YEAR(Model_Start_Date),1,Y37*(1+P38))</f>
        <v>1.16828149763369</v>
      </c>
      <c r="Z38" s="18" t="n">
        <f aca="false">IF($C38=YEAR(Model_Start_Date),1,Z37*(1+Q38))</f>
        <v>1.2301946524386</v>
      </c>
      <c r="AA38" s="18" t="n">
        <f aca="false">IF($C38=YEAR(Model_Start_Date),1,AA37*(1+R38))</f>
        <v>1</v>
      </c>
      <c r="AB38" s="18" t="n">
        <f aca="false">IF($C38=YEAR(Model_Start_Date),1,AB37*(1+S38))</f>
        <v>1</v>
      </c>
      <c r="AC38" s="18" t="n">
        <f aca="false">IF($C38=YEAR(Model_Start_Date),1,AC37*(1+T38))</f>
        <v>1</v>
      </c>
    </row>
    <row r="39" customFormat="false" ht="13.8" hidden="false" customHeight="false" outlineLevel="1" collapsed="false">
      <c r="A39" s="1"/>
      <c r="B39" s="61" t="n">
        <f aca="false">B38+1</f>
        <v>28</v>
      </c>
      <c r="C39" s="86" t="n">
        <f aca="false">C38+1</f>
        <v>2052</v>
      </c>
      <c r="E39" s="15" t="s">
        <v>497</v>
      </c>
      <c r="F39" s="63" t="n">
        <v>0.02</v>
      </c>
      <c r="G39" s="18" t="n">
        <f aca="false">G$10*$F39</f>
        <v>0.004</v>
      </c>
      <c r="H39" s="18" t="n">
        <f aca="false">H$10*$F39</f>
        <v>0.006</v>
      </c>
      <c r="I39" s="18" t="n">
        <f aca="false">I$10*$F39</f>
        <v>0.008</v>
      </c>
      <c r="J39" s="63"/>
      <c r="K39" s="63"/>
      <c r="L39" s="63"/>
      <c r="M39" s="15" t="s">
        <v>497</v>
      </c>
      <c r="N39" s="18" t="n">
        <v>0.02</v>
      </c>
      <c r="O39" s="18" t="n">
        <v>0.004</v>
      </c>
      <c r="P39" s="18" t="n">
        <v>0.006</v>
      </c>
      <c r="Q39" s="18" t="n">
        <v>0.008</v>
      </c>
      <c r="R39" s="18" t="n">
        <v>0</v>
      </c>
      <c r="S39" s="18" t="n">
        <v>0</v>
      </c>
      <c r="T39" s="18" t="n">
        <v>0</v>
      </c>
      <c r="V39" s="15" t="s">
        <v>497</v>
      </c>
      <c r="W39" s="18" t="n">
        <f aca="false">IF($C39=YEAR(Model_Start_Date),1,W38*(1+N39))</f>
        <v>1.70688647664111</v>
      </c>
      <c r="X39" s="18" t="n">
        <f aca="false">IF($C39=YEAR(Model_Start_Date),1,X38*(1+O39))</f>
        <v>1.11380777669467</v>
      </c>
      <c r="Y39" s="18" t="n">
        <f aca="false">IF($C39=YEAR(Model_Start_Date),1,Y38*(1+P39))</f>
        <v>1.17529118661949</v>
      </c>
      <c r="Z39" s="18" t="n">
        <f aca="false">IF($C39=YEAR(Model_Start_Date),1,Z38*(1+Q39))</f>
        <v>1.2400362096581</v>
      </c>
      <c r="AA39" s="18" t="n">
        <f aca="false">IF($C39=YEAR(Model_Start_Date),1,AA38*(1+R39))</f>
        <v>1</v>
      </c>
      <c r="AB39" s="18" t="n">
        <f aca="false">IF($C39=YEAR(Model_Start_Date),1,AB38*(1+S39))</f>
        <v>1</v>
      </c>
      <c r="AC39" s="18" t="n">
        <f aca="false">IF($C39=YEAR(Model_Start_Date),1,AC38*(1+T39))</f>
        <v>1</v>
      </c>
    </row>
    <row r="40" customFormat="false" ht="13.8" hidden="false" customHeight="false" outlineLevel="1" collapsed="false">
      <c r="A40" s="1"/>
      <c r="B40" s="61" t="n">
        <f aca="false">B39+1</f>
        <v>29</v>
      </c>
      <c r="C40" s="86" t="n">
        <f aca="false">C39+1</f>
        <v>2053</v>
      </c>
      <c r="E40" s="15" t="s">
        <v>497</v>
      </c>
      <c r="F40" s="63" t="n">
        <v>0.02</v>
      </c>
      <c r="G40" s="18" t="n">
        <f aca="false">G$10*$F40</f>
        <v>0.004</v>
      </c>
      <c r="H40" s="18" t="n">
        <f aca="false">H$10*$F40</f>
        <v>0.006</v>
      </c>
      <c r="I40" s="18" t="n">
        <f aca="false">I$10*$F40</f>
        <v>0.008</v>
      </c>
      <c r="J40" s="63"/>
      <c r="K40" s="63"/>
      <c r="L40" s="63"/>
      <c r="M40" s="15" t="s">
        <v>497</v>
      </c>
      <c r="N40" s="18" t="n">
        <v>0.02</v>
      </c>
      <c r="O40" s="18" t="n">
        <v>0.004</v>
      </c>
      <c r="P40" s="18" t="n">
        <v>0.006</v>
      </c>
      <c r="Q40" s="18" t="n">
        <v>0.008</v>
      </c>
      <c r="R40" s="18" t="n">
        <v>0</v>
      </c>
      <c r="S40" s="18" t="n">
        <v>0</v>
      </c>
      <c r="T40" s="18" t="n">
        <v>0</v>
      </c>
      <c r="V40" s="15" t="s">
        <v>497</v>
      </c>
      <c r="W40" s="18" t="n">
        <f aca="false">IF($C40=YEAR(Model_Start_Date),1,W39*(1+N40))</f>
        <v>1.74102420617393</v>
      </c>
      <c r="X40" s="18" t="n">
        <f aca="false">IF($C40=YEAR(Model_Start_Date),1,X39*(1+O40))</f>
        <v>1.11826300780145</v>
      </c>
      <c r="Y40" s="18" t="n">
        <f aca="false">IF($C40=YEAR(Model_Start_Date),1,Y39*(1+P40))</f>
        <v>1.18234293373921</v>
      </c>
      <c r="Z40" s="18" t="n">
        <f aca="false">IF($C40=YEAR(Model_Start_Date),1,Z39*(1+Q40))</f>
        <v>1.24995649933537</v>
      </c>
      <c r="AA40" s="18" t="n">
        <f aca="false">IF($C40=YEAR(Model_Start_Date),1,AA39*(1+R40))</f>
        <v>1</v>
      </c>
      <c r="AB40" s="18" t="n">
        <f aca="false">IF($C40=YEAR(Model_Start_Date),1,AB39*(1+S40))</f>
        <v>1</v>
      </c>
      <c r="AC40" s="18" t="n">
        <f aca="false">IF($C40=YEAR(Model_Start_Date),1,AC39*(1+T40))</f>
        <v>1</v>
      </c>
    </row>
    <row r="41" customFormat="false" ht="13.8" hidden="false" customHeight="false" outlineLevel="1" collapsed="false">
      <c r="A41" s="1"/>
      <c r="B41" s="61" t="n">
        <f aca="false">B40+1</f>
        <v>30</v>
      </c>
      <c r="C41" s="86" t="n">
        <f aca="false">C40+1</f>
        <v>2054</v>
      </c>
      <c r="E41" s="15" t="s">
        <v>497</v>
      </c>
      <c r="F41" s="63" t="n">
        <v>0.02</v>
      </c>
      <c r="G41" s="18" t="n">
        <f aca="false">G$10*$F41</f>
        <v>0.004</v>
      </c>
      <c r="H41" s="18" t="n">
        <f aca="false">H$10*$F41</f>
        <v>0.006</v>
      </c>
      <c r="I41" s="18" t="n">
        <f aca="false">I$10*$F41</f>
        <v>0.008</v>
      </c>
      <c r="J41" s="63"/>
      <c r="K41" s="63"/>
      <c r="L41" s="63"/>
      <c r="M41" s="15" t="s">
        <v>497</v>
      </c>
      <c r="N41" s="18" t="n">
        <v>0.02</v>
      </c>
      <c r="O41" s="18" t="n">
        <v>0.004</v>
      </c>
      <c r="P41" s="18" t="n">
        <v>0.006</v>
      </c>
      <c r="Q41" s="18" t="n">
        <v>0.008</v>
      </c>
      <c r="R41" s="18" t="n">
        <v>0</v>
      </c>
      <c r="S41" s="18" t="n">
        <v>0</v>
      </c>
      <c r="T41" s="18" t="n">
        <v>0</v>
      </c>
      <c r="V41" s="15" t="s">
        <v>497</v>
      </c>
      <c r="W41" s="18" t="n">
        <f aca="false">IF($C41=YEAR(Model_Start_Date),1,W40*(1+N41))</f>
        <v>1.77584469029741</v>
      </c>
      <c r="X41" s="18" t="n">
        <f aca="false">IF($C41=YEAR(Model_Start_Date),1,X40*(1+O41))</f>
        <v>1.12273605983266</v>
      </c>
      <c r="Y41" s="18" t="n">
        <f aca="false">IF($C41=YEAR(Model_Start_Date),1,Y40*(1+P41))</f>
        <v>1.18943699134164</v>
      </c>
      <c r="Z41" s="18" t="n">
        <f aca="false">IF($C41=YEAR(Model_Start_Date),1,Z40*(1+Q41))</f>
        <v>1.25995615133005</v>
      </c>
      <c r="AA41" s="18" t="n">
        <f aca="false">IF($C41=YEAR(Model_Start_Date),1,AA40*(1+R41))</f>
        <v>1</v>
      </c>
      <c r="AB41" s="18" t="n">
        <f aca="false">IF($C41=YEAR(Model_Start_Date),1,AB40*(1+S41))</f>
        <v>1</v>
      </c>
      <c r="AC41" s="18" t="n">
        <f aca="false">IF($C41=YEAR(Model_Start_Date),1,AC40*(1+T41))</f>
        <v>1</v>
      </c>
    </row>
    <row r="42" customFormat="false" ht="13.8" hidden="false" customHeight="false" outlineLevel="1" collapsed="false">
      <c r="A42" s="1"/>
      <c r="B42" s="61" t="n">
        <f aca="false">B41+1</f>
        <v>31</v>
      </c>
      <c r="C42" s="86" t="n">
        <f aca="false">C41+1</f>
        <v>2055</v>
      </c>
      <c r="E42" s="15" t="s">
        <v>497</v>
      </c>
      <c r="F42" s="63" t="n">
        <v>0.02</v>
      </c>
      <c r="G42" s="18" t="n">
        <f aca="false">G$10*$F42</f>
        <v>0.004</v>
      </c>
      <c r="H42" s="18" t="n">
        <f aca="false">H$10*$F42</f>
        <v>0.006</v>
      </c>
      <c r="I42" s="18" t="n">
        <f aca="false">I$10*$F42</f>
        <v>0.008</v>
      </c>
      <c r="J42" s="63"/>
      <c r="K42" s="63"/>
      <c r="L42" s="63"/>
      <c r="M42" s="15" t="s">
        <v>497</v>
      </c>
      <c r="N42" s="18" t="n">
        <v>0.02</v>
      </c>
      <c r="O42" s="18" t="n">
        <v>0.004</v>
      </c>
      <c r="P42" s="18" t="n">
        <v>0.006</v>
      </c>
      <c r="Q42" s="18" t="n">
        <v>0.008</v>
      </c>
      <c r="R42" s="18" t="n">
        <v>0</v>
      </c>
      <c r="S42" s="18" t="n">
        <v>0</v>
      </c>
      <c r="T42" s="18" t="n">
        <v>0</v>
      </c>
      <c r="V42" s="15" t="s">
        <v>497</v>
      </c>
      <c r="W42" s="18" t="n">
        <f aca="false">IF($C42=YEAR(Model_Start_Date),1,W41*(1+N42))</f>
        <v>1.81136158410335</v>
      </c>
      <c r="X42" s="18" t="n">
        <f aca="false">IF($C42=YEAR(Model_Start_Date),1,X41*(1+O42))</f>
        <v>1.12722700407199</v>
      </c>
      <c r="Y42" s="18" t="n">
        <f aca="false">IF($C42=YEAR(Model_Start_Date),1,Y41*(1+P42))</f>
        <v>1.19657361328969</v>
      </c>
      <c r="Z42" s="18" t="n">
        <f aca="false">IF($C42=YEAR(Model_Start_Date),1,Z41*(1+Q42))</f>
        <v>1.27003580054069</v>
      </c>
      <c r="AA42" s="18" t="n">
        <f aca="false">IF($C42=YEAR(Model_Start_Date),1,AA41*(1+R42))</f>
        <v>1</v>
      </c>
      <c r="AB42" s="18" t="n">
        <f aca="false">IF($C42=YEAR(Model_Start_Date),1,AB41*(1+S42))</f>
        <v>1</v>
      </c>
      <c r="AC42" s="18" t="n">
        <f aca="false">IF($C42=YEAR(Model_Start_Date),1,AC41*(1+T42))</f>
        <v>1</v>
      </c>
    </row>
    <row r="43" customFormat="false" ht="13.8" hidden="false" customHeight="false" outlineLevel="1" collapsed="false">
      <c r="A43" s="1"/>
      <c r="B43" s="61" t="n">
        <f aca="false">B42+1</f>
        <v>32</v>
      </c>
      <c r="C43" s="86" t="n">
        <f aca="false">C42+1</f>
        <v>2056</v>
      </c>
      <c r="E43" s="15" t="s">
        <v>497</v>
      </c>
      <c r="F43" s="63" t="n">
        <v>0.02</v>
      </c>
      <c r="G43" s="18" t="n">
        <f aca="false">G$10*$F43</f>
        <v>0.004</v>
      </c>
      <c r="H43" s="18" t="n">
        <f aca="false">H$10*$F43</f>
        <v>0.006</v>
      </c>
      <c r="I43" s="18" t="n">
        <f aca="false">I$10*$F43</f>
        <v>0.008</v>
      </c>
      <c r="J43" s="63"/>
      <c r="K43" s="63"/>
      <c r="L43" s="63"/>
      <c r="M43" s="15" t="s">
        <v>497</v>
      </c>
      <c r="N43" s="18" t="n">
        <v>0.02</v>
      </c>
      <c r="O43" s="18" t="n">
        <v>0.004</v>
      </c>
      <c r="P43" s="18" t="n">
        <v>0.006</v>
      </c>
      <c r="Q43" s="18" t="n">
        <v>0.008</v>
      </c>
      <c r="R43" s="18" t="n">
        <v>0</v>
      </c>
      <c r="S43" s="18" t="n">
        <v>0</v>
      </c>
      <c r="T43" s="18" t="n">
        <v>0</v>
      </c>
      <c r="V43" s="15" t="s">
        <v>497</v>
      </c>
      <c r="W43" s="18" t="n">
        <f aca="false">IF($C43=YEAR(Model_Start_Date),1,W42*(1+N43))</f>
        <v>1.84758881578542</v>
      </c>
      <c r="X43" s="18" t="n">
        <f aca="false">IF($C43=YEAR(Model_Start_Date),1,X42*(1+O43))</f>
        <v>1.13173591208828</v>
      </c>
      <c r="Y43" s="18" t="n">
        <f aca="false">IF($C43=YEAR(Model_Start_Date),1,Y42*(1+P43))</f>
        <v>1.20375305496943</v>
      </c>
      <c r="Z43" s="18" t="n">
        <f aca="false">IF($C43=YEAR(Model_Start_Date),1,Z42*(1+Q43))</f>
        <v>1.28019608694502</v>
      </c>
      <c r="AA43" s="18" t="n">
        <f aca="false">IF($C43=YEAR(Model_Start_Date),1,AA42*(1+R43))</f>
        <v>1</v>
      </c>
      <c r="AB43" s="18" t="n">
        <f aca="false">IF($C43=YEAR(Model_Start_Date),1,AB42*(1+S43))</f>
        <v>1</v>
      </c>
      <c r="AC43" s="18" t="n">
        <f aca="false">IF($C43=YEAR(Model_Start_Date),1,AC42*(1+T43))</f>
        <v>1</v>
      </c>
    </row>
    <row r="44" customFormat="false" ht="13.8" hidden="false" customHeight="false" outlineLevel="1" collapsed="false">
      <c r="A44" s="1"/>
      <c r="B44" s="61" t="n">
        <f aca="false">B43+1</f>
        <v>33</v>
      </c>
      <c r="C44" s="86" t="n">
        <f aca="false">C43+1</f>
        <v>2057</v>
      </c>
      <c r="E44" s="15" t="s">
        <v>497</v>
      </c>
      <c r="F44" s="63" t="n">
        <v>0.02</v>
      </c>
      <c r="G44" s="18" t="n">
        <f aca="false">G$10*$F44</f>
        <v>0.004</v>
      </c>
      <c r="H44" s="18" t="n">
        <f aca="false">H$10*$F44</f>
        <v>0.006</v>
      </c>
      <c r="I44" s="18" t="n">
        <f aca="false">I$10*$F44</f>
        <v>0.008</v>
      </c>
      <c r="J44" s="63"/>
      <c r="K44" s="63"/>
      <c r="L44" s="63"/>
      <c r="M44" s="15" t="s">
        <v>497</v>
      </c>
      <c r="N44" s="18" t="n">
        <v>0.02</v>
      </c>
      <c r="O44" s="18" t="n">
        <v>0.004</v>
      </c>
      <c r="P44" s="18" t="n">
        <v>0.006</v>
      </c>
      <c r="Q44" s="18" t="n">
        <v>0.008</v>
      </c>
      <c r="R44" s="18" t="n">
        <v>0</v>
      </c>
      <c r="S44" s="18" t="n">
        <v>0</v>
      </c>
      <c r="T44" s="18" t="n">
        <v>0</v>
      </c>
      <c r="V44" s="15" t="s">
        <v>497</v>
      </c>
      <c r="W44" s="18" t="n">
        <f aca="false">IF($C44=YEAR(Model_Start_Date),1,W43*(1+N44))</f>
        <v>1.88454059210113</v>
      </c>
      <c r="X44" s="18" t="n">
        <f aca="false">IF($C44=YEAR(Model_Start_Date),1,X43*(1+O44))</f>
        <v>1.13626285573663</v>
      </c>
      <c r="Y44" s="18" t="n">
        <f aca="false">IF($C44=YEAR(Model_Start_Date),1,Y43*(1+P44))</f>
        <v>1.21097557329925</v>
      </c>
      <c r="Z44" s="18" t="n">
        <f aca="false">IF($C44=YEAR(Model_Start_Date),1,Z43*(1+Q44))</f>
        <v>1.29043765564058</v>
      </c>
      <c r="AA44" s="18" t="n">
        <f aca="false">IF($C44=YEAR(Model_Start_Date),1,AA43*(1+R44))</f>
        <v>1</v>
      </c>
      <c r="AB44" s="18" t="n">
        <f aca="false">IF($C44=YEAR(Model_Start_Date),1,AB43*(1+S44))</f>
        <v>1</v>
      </c>
      <c r="AC44" s="18" t="n">
        <f aca="false">IF($C44=YEAR(Model_Start_Date),1,AC43*(1+T44))</f>
        <v>1</v>
      </c>
    </row>
    <row r="45" customFormat="false" ht="13.8" hidden="false" customHeight="false" outlineLevel="1" collapsed="false">
      <c r="A45" s="1"/>
      <c r="B45" s="61" t="n">
        <f aca="false">B44+1</f>
        <v>34</v>
      </c>
      <c r="C45" s="86" t="n">
        <f aca="false">C44+1</f>
        <v>2058</v>
      </c>
      <c r="E45" s="15" t="s">
        <v>497</v>
      </c>
      <c r="F45" s="63" t="n">
        <v>0.02</v>
      </c>
      <c r="G45" s="18" t="n">
        <f aca="false">G$10*$F45</f>
        <v>0.004</v>
      </c>
      <c r="H45" s="18" t="n">
        <f aca="false">H$10*$F45</f>
        <v>0.006</v>
      </c>
      <c r="I45" s="18" t="n">
        <f aca="false">I$10*$F45</f>
        <v>0.008</v>
      </c>
      <c r="J45" s="63"/>
      <c r="K45" s="63"/>
      <c r="L45" s="63"/>
      <c r="M45" s="15" t="s">
        <v>497</v>
      </c>
      <c r="N45" s="18" t="n">
        <v>0.02</v>
      </c>
      <c r="O45" s="18" t="n">
        <v>0.004</v>
      </c>
      <c r="P45" s="18" t="n">
        <v>0.006</v>
      </c>
      <c r="Q45" s="18" t="n">
        <v>0.008</v>
      </c>
      <c r="R45" s="18" t="n">
        <v>0</v>
      </c>
      <c r="S45" s="18" t="n">
        <v>0</v>
      </c>
      <c r="T45" s="18" t="n">
        <v>0</v>
      </c>
      <c r="V45" s="15" t="s">
        <v>497</v>
      </c>
      <c r="W45" s="18" t="n">
        <f aca="false">IF($C45=YEAR(Model_Start_Date),1,W44*(1+N45))</f>
        <v>1.92223140394315</v>
      </c>
      <c r="X45" s="18" t="n">
        <f aca="false">IF($C45=YEAR(Model_Start_Date),1,X44*(1+O45))</f>
        <v>1.14080790715958</v>
      </c>
      <c r="Y45" s="18" t="n">
        <f aca="false">IF($C45=YEAR(Model_Start_Date),1,Y44*(1+P45))</f>
        <v>1.21824142673904</v>
      </c>
      <c r="Z45" s="18" t="n">
        <f aca="false">IF($C45=YEAR(Model_Start_Date),1,Z44*(1+Q45))</f>
        <v>1.3007611568857</v>
      </c>
      <c r="AA45" s="18" t="n">
        <f aca="false">IF($C45=YEAR(Model_Start_Date),1,AA44*(1+R45))</f>
        <v>1</v>
      </c>
      <c r="AB45" s="18" t="n">
        <f aca="false">IF($C45=YEAR(Model_Start_Date),1,AB44*(1+S45))</f>
        <v>1</v>
      </c>
      <c r="AC45" s="18" t="n">
        <f aca="false">IF($C45=YEAR(Model_Start_Date),1,AC44*(1+T45))</f>
        <v>1</v>
      </c>
    </row>
    <row r="46" customFormat="false" ht="13.8" hidden="false" customHeight="false" outlineLevel="1" collapsed="false">
      <c r="A46" s="1"/>
      <c r="B46" s="61" t="n">
        <f aca="false">B45+1</f>
        <v>35</v>
      </c>
      <c r="C46" s="86" t="n">
        <f aca="false">C45+1</f>
        <v>2059</v>
      </c>
      <c r="E46" s="15" t="s">
        <v>497</v>
      </c>
      <c r="F46" s="63" t="n">
        <v>0.02</v>
      </c>
      <c r="G46" s="18" t="n">
        <f aca="false">G$10*$F46</f>
        <v>0.004</v>
      </c>
      <c r="H46" s="18" t="n">
        <f aca="false">H$10*$F46</f>
        <v>0.006</v>
      </c>
      <c r="I46" s="18" t="n">
        <f aca="false">I$10*$F46</f>
        <v>0.008</v>
      </c>
      <c r="J46" s="63"/>
      <c r="K46" s="63"/>
      <c r="L46" s="63"/>
      <c r="M46" s="15" t="s">
        <v>497</v>
      </c>
      <c r="N46" s="18" t="n">
        <v>0.02</v>
      </c>
      <c r="O46" s="18" t="n">
        <v>0.004</v>
      </c>
      <c r="P46" s="18" t="n">
        <v>0.006</v>
      </c>
      <c r="Q46" s="18" t="n">
        <v>0.008</v>
      </c>
      <c r="R46" s="18" t="n">
        <v>0</v>
      </c>
      <c r="S46" s="18" t="n">
        <v>0</v>
      </c>
      <c r="T46" s="18" t="n">
        <v>0</v>
      </c>
      <c r="V46" s="15" t="s">
        <v>497</v>
      </c>
      <c r="W46" s="18" t="n">
        <f aca="false">IF($C46=YEAR(Model_Start_Date),1,W45*(1+N46))</f>
        <v>1.96067603202202</v>
      </c>
      <c r="X46" s="18" t="n">
        <f aca="false">IF($C46=YEAR(Model_Start_Date),1,X45*(1+O46))</f>
        <v>1.14537113878821</v>
      </c>
      <c r="Y46" s="18" t="n">
        <f aca="false">IF($C46=YEAR(Model_Start_Date),1,Y45*(1+P46))</f>
        <v>1.22555087529948</v>
      </c>
      <c r="Z46" s="18" t="n">
        <f aca="false">IF($C46=YEAR(Model_Start_Date),1,Z45*(1+Q46))</f>
        <v>1.31116724614079</v>
      </c>
      <c r="AA46" s="18" t="n">
        <f aca="false">IF($C46=YEAR(Model_Start_Date),1,AA45*(1+R46))</f>
        <v>1</v>
      </c>
      <c r="AB46" s="18" t="n">
        <f aca="false">IF($C46=YEAR(Model_Start_Date),1,AB45*(1+S46))</f>
        <v>1</v>
      </c>
      <c r="AC46" s="18" t="n">
        <f aca="false">IF($C46=YEAR(Model_Start_Date),1,AC45*(1+T46))</f>
        <v>1</v>
      </c>
    </row>
    <row r="47" customFormat="false" ht="13.8" hidden="false" customHeight="false" outlineLevel="1" collapsed="false">
      <c r="A47" s="1"/>
      <c r="B47" s="61" t="n">
        <f aca="false">B46+1</f>
        <v>36</v>
      </c>
      <c r="C47" s="86" t="n">
        <f aca="false">C46+1</f>
        <v>2060</v>
      </c>
      <c r="E47" s="15" t="s">
        <v>497</v>
      </c>
      <c r="F47" s="63" t="n">
        <v>0.02</v>
      </c>
      <c r="G47" s="18" t="n">
        <f aca="false">G$10*$F47</f>
        <v>0.004</v>
      </c>
      <c r="H47" s="18" t="n">
        <f aca="false">H$10*$F47</f>
        <v>0.006</v>
      </c>
      <c r="I47" s="18" t="n">
        <f aca="false">I$10*$F47</f>
        <v>0.008</v>
      </c>
      <c r="J47" s="63"/>
      <c r="K47" s="63"/>
      <c r="L47" s="63"/>
      <c r="M47" s="15" t="s">
        <v>497</v>
      </c>
      <c r="N47" s="18" t="n">
        <v>0.02</v>
      </c>
      <c r="O47" s="18" t="n">
        <v>0.004</v>
      </c>
      <c r="P47" s="18" t="n">
        <v>0.006</v>
      </c>
      <c r="Q47" s="18" t="n">
        <v>0.008</v>
      </c>
      <c r="R47" s="18" t="n">
        <v>0</v>
      </c>
      <c r="S47" s="18" t="n">
        <v>0</v>
      </c>
      <c r="T47" s="18" t="n">
        <v>0</v>
      </c>
      <c r="V47" s="15" t="s">
        <v>497</v>
      </c>
      <c r="W47" s="18" t="n">
        <f aca="false">IF($C47=YEAR(Model_Start_Date),1,W46*(1+N47))</f>
        <v>1.99988955266246</v>
      </c>
      <c r="X47" s="18" t="n">
        <f aca="false">IF($C47=YEAR(Model_Start_Date),1,X46*(1+O47))</f>
        <v>1.14995262334337</v>
      </c>
      <c r="Y47" s="18" t="n">
        <f aca="false">IF($C47=YEAR(Model_Start_Date),1,Y46*(1+P47))</f>
        <v>1.23290418055127</v>
      </c>
      <c r="Z47" s="18" t="n">
        <f aca="false">IF($C47=YEAR(Model_Start_Date),1,Z46*(1+Q47))</f>
        <v>1.32165658410992</v>
      </c>
      <c r="AA47" s="18" t="n">
        <f aca="false">IF($C47=YEAR(Model_Start_Date),1,AA46*(1+R47))</f>
        <v>1</v>
      </c>
      <c r="AB47" s="18" t="n">
        <f aca="false">IF($C47=YEAR(Model_Start_Date),1,AB46*(1+S47))</f>
        <v>1</v>
      </c>
      <c r="AC47" s="18" t="n">
        <f aca="false">IF($C47=YEAR(Model_Start_Date),1,AC46*(1+T47))</f>
        <v>1</v>
      </c>
    </row>
    <row r="48" customFormat="false" ht="13.8" hidden="false" customHeight="false" outlineLevel="1" collapsed="false">
      <c r="A48" s="1"/>
      <c r="B48" s="61" t="n">
        <f aca="false">B47+1</f>
        <v>37</v>
      </c>
      <c r="C48" s="86" t="n">
        <f aca="false">C47+1</f>
        <v>2061</v>
      </c>
      <c r="E48" s="15" t="s">
        <v>497</v>
      </c>
      <c r="F48" s="63" t="n">
        <v>0.02</v>
      </c>
      <c r="G48" s="18" t="n">
        <f aca="false">G$10*$F48</f>
        <v>0.004</v>
      </c>
      <c r="H48" s="18" t="n">
        <f aca="false">H$10*$F48</f>
        <v>0.006</v>
      </c>
      <c r="I48" s="18" t="n">
        <f aca="false">I$10*$F48</f>
        <v>0.008</v>
      </c>
      <c r="J48" s="63"/>
      <c r="K48" s="63"/>
      <c r="L48" s="63"/>
      <c r="M48" s="15" t="s">
        <v>497</v>
      </c>
      <c r="N48" s="18" t="n">
        <v>0.02</v>
      </c>
      <c r="O48" s="18" t="n">
        <v>0.004</v>
      </c>
      <c r="P48" s="18" t="n">
        <v>0.006</v>
      </c>
      <c r="Q48" s="18" t="n">
        <v>0.008</v>
      </c>
      <c r="R48" s="18" t="n">
        <v>0</v>
      </c>
      <c r="S48" s="18" t="n">
        <v>0</v>
      </c>
      <c r="T48" s="18" t="n">
        <v>0</v>
      </c>
      <c r="V48" s="15" t="s">
        <v>497</v>
      </c>
      <c r="W48" s="18" t="n">
        <f aca="false">IF($C48=YEAR(Model_Start_Date),1,W47*(1+N48))</f>
        <v>2.03988734371571</v>
      </c>
      <c r="X48" s="18" t="n">
        <f aca="false">IF($C48=YEAR(Model_Start_Date),1,X47*(1+O48))</f>
        <v>1.15455243383674</v>
      </c>
      <c r="Y48" s="18" t="n">
        <f aca="false">IF($C48=YEAR(Model_Start_Date),1,Y47*(1+P48))</f>
        <v>1.24030160563458</v>
      </c>
      <c r="Z48" s="18" t="n">
        <f aca="false">IF($C48=YEAR(Model_Start_Date),1,Z47*(1+Q48))</f>
        <v>1.33222983678279</v>
      </c>
      <c r="AA48" s="18" t="n">
        <f aca="false">IF($C48=YEAR(Model_Start_Date),1,AA47*(1+R48))</f>
        <v>1</v>
      </c>
      <c r="AB48" s="18" t="n">
        <f aca="false">IF($C48=YEAR(Model_Start_Date),1,AB47*(1+S48))</f>
        <v>1</v>
      </c>
      <c r="AC48" s="18" t="n">
        <f aca="false">IF($C48=YEAR(Model_Start_Date),1,AC47*(1+T48))</f>
        <v>1</v>
      </c>
    </row>
    <row r="49" customFormat="false" ht="13.8" hidden="false" customHeight="false" outlineLevel="1" collapsed="false">
      <c r="A49" s="1"/>
      <c r="B49" s="61" t="n">
        <f aca="false">B48+1</f>
        <v>38</v>
      </c>
      <c r="C49" s="86" t="n">
        <f aca="false">C48+1</f>
        <v>2062</v>
      </c>
      <c r="E49" s="15" t="s">
        <v>497</v>
      </c>
      <c r="F49" s="63" t="n">
        <v>0.02</v>
      </c>
      <c r="G49" s="18" t="n">
        <f aca="false">G$10*$F49</f>
        <v>0.004</v>
      </c>
      <c r="H49" s="18" t="n">
        <f aca="false">H$10*$F49</f>
        <v>0.006</v>
      </c>
      <c r="I49" s="18" t="n">
        <f aca="false">I$10*$F49</f>
        <v>0.008</v>
      </c>
      <c r="J49" s="63"/>
      <c r="K49" s="63"/>
      <c r="L49" s="63"/>
      <c r="M49" s="15" t="s">
        <v>497</v>
      </c>
      <c r="N49" s="18" t="n">
        <v>0.02</v>
      </c>
      <c r="O49" s="18" t="n">
        <v>0.004</v>
      </c>
      <c r="P49" s="18" t="n">
        <v>0.006</v>
      </c>
      <c r="Q49" s="18" t="n">
        <v>0.008</v>
      </c>
      <c r="R49" s="18" t="n">
        <v>0</v>
      </c>
      <c r="S49" s="18" t="n">
        <v>0</v>
      </c>
      <c r="T49" s="18" t="n">
        <v>0</v>
      </c>
      <c r="V49" s="15" t="s">
        <v>497</v>
      </c>
      <c r="W49" s="18" t="n">
        <f aca="false">IF($C49=YEAR(Model_Start_Date),1,W48*(1+N49))</f>
        <v>2.08068509059002</v>
      </c>
      <c r="X49" s="18" t="n">
        <f aca="false">IF($C49=YEAR(Model_Start_Date),1,X48*(1+O49))</f>
        <v>1.15917064357209</v>
      </c>
      <c r="Y49" s="18" t="n">
        <f aca="false">IF($C49=YEAR(Model_Start_Date),1,Y48*(1+P49))</f>
        <v>1.24774341526839</v>
      </c>
      <c r="Z49" s="18" t="n">
        <f aca="false">IF($C49=YEAR(Model_Start_Date),1,Z48*(1+Q49))</f>
        <v>1.34288767547706</v>
      </c>
      <c r="AA49" s="18" t="n">
        <f aca="false">IF($C49=YEAR(Model_Start_Date),1,AA48*(1+R49))</f>
        <v>1</v>
      </c>
      <c r="AB49" s="18" t="n">
        <f aca="false">IF($C49=YEAR(Model_Start_Date),1,AB48*(1+S49))</f>
        <v>1</v>
      </c>
      <c r="AC49" s="18" t="n">
        <f aca="false">IF($C49=YEAR(Model_Start_Date),1,AC48*(1+T49))</f>
        <v>1</v>
      </c>
    </row>
    <row r="50" customFormat="false" ht="13.8" hidden="false" customHeight="false" outlineLevel="1" collapsed="false">
      <c r="A50" s="1"/>
      <c r="B50" s="61" t="n">
        <f aca="false">B49+1</f>
        <v>39</v>
      </c>
      <c r="C50" s="86" t="n">
        <f aca="false">C49+1</f>
        <v>2063</v>
      </c>
      <c r="E50" s="15" t="s">
        <v>497</v>
      </c>
      <c r="F50" s="63" t="n">
        <v>0.02</v>
      </c>
      <c r="G50" s="18" t="n">
        <f aca="false">G$10*$F50</f>
        <v>0.004</v>
      </c>
      <c r="H50" s="18" t="n">
        <f aca="false">H$10*$F50</f>
        <v>0.006</v>
      </c>
      <c r="I50" s="18" t="n">
        <f aca="false">I$10*$F50</f>
        <v>0.008</v>
      </c>
      <c r="J50" s="63"/>
      <c r="K50" s="63"/>
      <c r="L50" s="63"/>
      <c r="M50" s="15" t="s">
        <v>497</v>
      </c>
      <c r="N50" s="18" t="n">
        <v>0.02</v>
      </c>
      <c r="O50" s="18" t="n">
        <v>0.004</v>
      </c>
      <c r="P50" s="18" t="n">
        <v>0.006</v>
      </c>
      <c r="Q50" s="18" t="n">
        <v>0.008</v>
      </c>
      <c r="R50" s="18" t="n">
        <v>0</v>
      </c>
      <c r="S50" s="18" t="n">
        <v>0</v>
      </c>
      <c r="T50" s="18" t="n">
        <v>0</v>
      </c>
      <c r="V50" s="15" t="s">
        <v>497</v>
      </c>
      <c r="W50" s="18" t="n">
        <f aca="false">IF($C50=YEAR(Model_Start_Date),1,W49*(1+N50))</f>
        <v>2.12229879240182</v>
      </c>
      <c r="X50" s="18" t="n">
        <f aca="false">IF($C50=YEAR(Model_Start_Date),1,X49*(1+O50))</f>
        <v>1.16380732614638</v>
      </c>
      <c r="Y50" s="18" t="n">
        <f aca="false">IF($C50=YEAR(Model_Start_Date),1,Y49*(1+P50))</f>
        <v>1.25522987576</v>
      </c>
      <c r="Z50" s="18" t="n">
        <f aca="false">IF($C50=YEAR(Model_Start_Date),1,Z49*(1+Q50))</f>
        <v>1.35363077688087</v>
      </c>
      <c r="AA50" s="18" t="n">
        <f aca="false">IF($C50=YEAR(Model_Start_Date),1,AA49*(1+R50))</f>
        <v>1</v>
      </c>
      <c r="AB50" s="18" t="n">
        <f aca="false">IF($C50=YEAR(Model_Start_Date),1,AB49*(1+S50))</f>
        <v>1</v>
      </c>
      <c r="AC50" s="18" t="n">
        <f aca="false">IF($C50=YEAR(Model_Start_Date),1,AC49*(1+T50))</f>
        <v>1</v>
      </c>
    </row>
    <row r="51" customFormat="false" ht="13.8" hidden="false" customHeight="false" outlineLevel="1" collapsed="false">
      <c r="A51" s="1"/>
      <c r="B51" s="61" t="n">
        <f aca="false">B50+1</f>
        <v>40</v>
      </c>
      <c r="C51" s="86" t="n">
        <f aca="false">C50+1</f>
        <v>2064</v>
      </c>
      <c r="E51" s="15" t="s">
        <v>497</v>
      </c>
      <c r="F51" s="63" t="n">
        <v>0.02</v>
      </c>
      <c r="G51" s="18" t="n">
        <f aca="false">G$10*$F51</f>
        <v>0.004</v>
      </c>
      <c r="H51" s="18" t="n">
        <f aca="false">H$10*$F51</f>
        <v>0.006</v>
      </c>
      <c r="I51" s="18" t="n">
        <f aca="false">I$10*$F51</f>
        <v>0.008</v>
      </c>
      <c r="J51" s="63"/>
      <c r="K51" s="63"/>
      <c r="L51" s="63"/>
      <c r="M51" s="15" t="s">
        <v>497</v>
      </c>
      <c r="N51" s="18" t="n">
        <v>0.02</v>
      </c>
      <c r="O51" s="18" t="n">
        <v>0.004</v>
      </c>
      <c r="P51" s="18" t="n">
        <v>0.006</v>
      </c>
      <c r="Q51" s="18" t="n">
        <v>0.008</v>
      </c>
      <c r="R51" s="18" t="n">
        <v>0</v>
      </c>
      <c r="S51" s="18" t="n">
        <v>0</v>
      </c>
      <c r="T51" s="18" t="n">
        <v>0</v>
      </c>
      <c r="V51" s="15" t="s">
        <v>497</v>
      </c>
      <c r="W51" s="18" t="n">
        <f aca="false">IF($C51=YEAR(Model_Start_Date),1,W50*(1+N51))</f>
        <v>2.16474476824986</v>
      </c>
      <c r="X51" s="18" t="n">
        <f aca="false">IF($C51=YEAR(Model_Start_Date),1,X50*(1+O51))</f>
        <v>1.16846255545096</v>
      </c>
      <c r="Y51" s="18" t="n">
        <f aca="false">IF($C51=YEAR(Model_Start_Date),1,Y50*(1+P51))</f>
        <v>1.26276125501456</v>
      </c>
      <c r="Z51" s="18" t="n">
        <f aca="false">IF($C51=YEAR(Model_Start_Date),1,Z50*(1+Q51))</f>
        <v>1.36445982309592</v>
      </c>
      <c r="AA51" s="18" t="n">
        <f aca="false">IF($C51=YEAR(Model_Start_Date),1,AA50*(1+R51))</f>
        <v>1</v>
      </c>
      <c r="AB51" s="18" t="n">
        <f aca="false">IF($C51=YEAR(Model_Start_Date),1,AB50*(1+S51))</f>
        <v>1</v>
      </c>
      <c r="AC51" s="18" t="n">
        <f aca="false">IF($C51=YEAR(Model_Start_Date),1,AC50*(1+T51))</f>
        <v>1</v>
      </c>
    </row>
    <row r="52" customFormat="false" ht="13.8" hidden="false" customHeight="false" outlineLevel="1" collapsed="false">
      <c r="A52" s="1"/>
      <c r="B52" s="61" t="n">
        <f aca="false">B51+1</f>
        <v>41</v>
      </c>
      <c r="C52" s="86" t="n">
        <f aca="false">C51+1</f>
        <v>2065</v>
      </c>
      <c r="E52" s="15" t="s">
        <v>497</v>
      </c>
      <c r="F52" s="63" t="n">
        <v>0.02</v>
      </c>
      <c r="G52" s="18" t="n">
        <f aca="false">G$10*$F52</f>
        <v>0.004</v>
      </c>
      <c r="H52" s="18" t="n">
        <f aca="false">H$10*$F52</f>
        <v>0.006</v>
      </c>
      <c r="I52" s="18" t="n">
        <f aca="false">I$10*$F52</f>
        <v>0.008</v>
      </c>
      <c r="J52" s="63"/>
      <c r="K52" s="63"/>
      <c r="L52" s="63"/>
      <c r="M52" s="15" t="s">
        <v>497</v>
      </c>
      <c r="N52" s="18" t="n">
        <v>0.02</v>
      </c>
      <c r="O52" s="18" t="n">
        <v>0.004</v>
      </c>
      <c r="P52" s="18" t="n">
        <v>0.006</v>
      </c>
      <c r="Q52" s="18" t="n">
        <v>0.008</v>
      </c>
      <c r="R52" s="18" t="n">
        <v>0</v>
      </c>
      <c r="S52" s="18" t="n">
        <v>0</v>
      </c>
      <c r="T52" s="18" t="n">
        <v>0</v>
      </c>
      <c r="V52" s="15" t="s">
        <v>497</v>
      </c>
      <c r="W52" s="18" t="n">
        <f aca="false">IF($C52=YEAR(Model_Start_Date),1,W51*(1+N52))</f>
        <v>2.20803966361485</v>
      </c>
      <c r="X52" s="18" t="n">
        <f aca="false">IF($C52=YEAR(Model_Start_Date),1,X51*(1+O52))</f>
        <v>1.17313640567277</v>
      </c>
      <c r="Y52" s="18" t="n">
        <f aca="false">IF($C52=YEAR(Model_Start_Date),1,Y51*(1+P52))</f>
        <v>1.27033782254465</v>
      </c>
      <c r="Z52" s="18" t="n">
        <f aca="false">IF($C52=YEAR(Model_Start_Date),1,Z51*(1+Q52))</f>
        <v>1.37537550168069</v>
      </c>
      <c r="AA52" s="18" t="n">
        <f aca="false">IF($C52=YEAR(Model_Start_Date),1,AA51*(1+R52))</f>
        <v>1</v>
      </c>
      <c r="AB52" s="18" t="n">
        <f aca="false">IF($C52=YEAR(Model_Start_Date),1,AB51*(1+S52))</f>
        <v>1</v>
      </c>
      <c r="AC52" s="18" t="n">
        <f aca="false">IF($C52=YEAR(Model_Start_Date),1,AC51*(1+T52))</f>
        <v>1</v>
      </c>
    </row>
    <row r="53" customFormat="false" ht="13.8" hidden="false" customHeight="false" outlineLevel="1" collapsed="false">
      <c r="A53" s="1"/>
      <c r="B53" s="61" t="n">
        <f aca="false">B52+1</f>
        <v>42</v>
      </c>
      <c r="C53" s="86" t="n">
        <f aca="false">C52+1</f>
        <v>2066</v>
      </c>
      <c r="E53" s="15" t="s">
        <v>497</v>
      </c>
      <c r="F53" s="63" t="n">
        <v>0.02</v>
      </c>
      <c r="G53" s="18" t="n">
        <f aca="false">G$10*$F53</f>
        <v>0.004</v>
      </c>
      <c r="H53" s="18" t="n">
        <f aca="false">H$10*$F53</f>
        <v>0.006</v>
      </c>
      <c r="I53" s="18" t="n">
        <f aca="false">I$10*$F53</f>
        <v>0.008</v>
      </c>
      <c r="J53" s="63"/>
      <c r="K53" s="63"/>
      <c r="L53" s="63"/>
      <c r="M53" s="15" t="s">
        <v>497</v>
      </c>
      <c r="N53" s="18" t="n">
        <v>0.02</v>
      </c>
      <c r="O53" s="18" t="n">
        <v>0.004</v>
      </c>
      <c r="P53" s="18" t="n">
        <v>0.006</v>
      </c>
      <c r="Q53" s="18" t="n">
        <v>0.008</v>
      </c>
      <c r="R53" s="18" t="n">
        <v>0</v>
      </c>
      <c r="S53" s="18" t="n">
        <v>0</v>
      </c>
      <c r="T53" s="18" t="n">
        <v>0</v>
      </c>
      <c r="V53" s="15" t="s">
        <v>497</v>
      </c>
      <c r="W53" s="18" t="n">
        <f aca="false">IF($C53=YEAR(Model_Start_Date),1,W52*(1+N53))</f>
        <v>2.25220045688715</v>
      </c>
      <c r="X53" s="18" t="n">
        <f aca="false">IF($C53=YEAR(Model_Start_Date),1,X52*(1+O53))</f>
        <v>1.17782895129546</v>
      </c>
      <c r="Y53" s="18" t="n">
        <f aca="false">IF($C53=YEAR(Model_Start_Date),1,Y52*(1+P53))</f>
        <v>1.27795984947991</v>
      </c>
      <c r="Z53" s="18" t="n">
        <f aca="false">IF($C53=YEAR(Model_Start_Date),1,Z52*(1+Q53))</f>
        <v>1.38637850569413</v>
      </c>
      <c r="AA53" s="18" t="n">
        <f aca="false">IF($C53=YEAR(Model_Start_Date),1,AA52*(1+R53))</f>
        <v>1</v>
      </c>
      <c r="AB53" s="18" t="n">
        <f aca="false">IF($C53=YEAR(Model_Start_Date),1,AB52*(1+S53))</f>
        <v>1</v>
      </c>
      <c r="AC53" s="18" t="n">
        <f aca="false">IF($C53=YEAR(Model_Start_Date),1,AC52*(1+T53))</f>
        <v>1</v>
      </c>
    </row>
    <row r="54" customFormat="false" ht="13.8" hidden="false" customHeight="false" outlineLevel="1" collapsed="false">
      <c r="A54" s="1"/>
      <c r="B54" s="61" t="n">
        <f aca="false">B53+1</f>
        <v>43</v>
      </c>
      <c r="C54" s="86" t="n">
        <f aca="false">C53+1</f>
        <v>2067</v>
      </c>
      <c r="E54" s="15" t="s">
        <v>497</v>
      </c>
      <c r="F54" s="63" t="n">
        <v>0.02</v>
      </c>
      <c r="G54" s="18" t="n">
        <f aca="false">G$10*$F54</f>
        <v>0.004</v>
      </c>
      <c r="H54" s="18" t="n">
        <f aca="false">H$10*$F54</f>
        <v>0.006</v>
      </c>
      <c r="I54" s="18" t="n">
        <f aca="false">I$10*$F54</f>
        <v>0.008</v>
      </c>
      <c r="J54" s="63"/>
      <c r="K54" s="63"/>
      <c r="L54" s="63"/>
      <c r="M54" s="15" t="s">
        <v>497</v>
      </c>
      <c r="N54" s="18" t="n">
        <v>0.02</v>
      </c>
      <c r="O54" s="18" t="n">
        <v>0.004</v>
      </c>
      <c r="P54" s="18" t="n">
        <v>0.006</v>
      </c>
      <c r="Q54" s="18" t="n">
        <v>0.008</v>
      </c>
      <c r="R54" s="18" t="n">
        <v>0</v>
      </c>
      <c r="S54" s="18" t="n">
        <v>0</v>
      </c>
      <c r="T54" s="18" t="n">
        <v>0</v>
      </c>
      <c r="V54" s="15" t="s">
        <v>497</v>
      </c>
      <c r="W54" s="18" t="n">
        <f aca="false">IF($C54=YEAR(Model_Start_Date),1,W53*(1+N54))</f>
        <v>2.29724446602489</v>
      </c>
      <c r="X54" s="18" t="n">
        <f aca="false">IF($C54=YEAR(Model_Start_Date),1,X53*(1+O54))</f>
        <v>1.18254026710064</v>
      </c>
      <c r="Y54" s="18" t="n">
        <f aca="false">IF($C54=YEAR(Model_Start_Date),1,Y53*(1+P54))</f>
        <v>1.28562760857679</v>
      </c>
      <c r="Z54" s="18" t="n">
        <f aca="false">IF($C54=YEAR(Model_Start_Date),1,Z53*(1+Q54))</f>
        <v>1.39746953373969</v>
      </c>
      <c r="AA54" s="18" t="n">
        <f aca="false">IF($C54=YEAR(Model_Start_Date),1,AA53*(1+R54))</f>
        <v>1</v>
      </c>
      <c r="AB54" s="18" t="n">
        <f aca="false">IF($C54=YEAR(Model_Start_Date),1,AB53*(1+S54))</f>
        <v>1</v>
      </c>
      <c r="AC54" s="18" t="n">
        <f aca="false">IF($C54=YEAR(Model_Start_Date),1,AC53*(1+T54))</f>
        <v>1</v>
      </c>
    </row>
    <row r="55" customFormat="false" ht="13.8" hidden="false" customHeight="false" outlineLevel="1" collapsed="false">
      <c r="A55" s="1"/>
      <c r="B55" s="61" t="n">
        <f aca="false">B54+1</f>
        <v>44</v>
      </c>
      <c r="C55" s="86" t="n">
        <f aca="false">C54+1</f>
        <v>2068</v>
      </c>
      <c r="E55" s="15" t="s">
        <v>497</v>
      </c>
      <c r="F55" s="63" t="n">
        <v>0.02</v>
      </c>
      <c r="G55" s="18" t="n">
        <f aca="false">G$10*$F55</f>
        <v>0.004</v>
      </c>
      <c r="H55" s="18" t="n">
        <f aca="false">H$10*$F55</f>
        <v>0.006</v>
      </c>
      <c r="I55" s="18" t="n">
        <f aca="false">I$10*$F55</f>
        <v>0.008</v>
      </c>
      <c r="J55" s="63"/>
      <c r="K55" s="63"/>
      <c r="L55" s="63"/>
      <c r="M55" s="15" t="s">
        <v>497</v>
      </c>
      <c r="N55" s="18" t="n">
        <v>0.02</v>
      </c>
      <c r="O55" s="18" t="n">
        <v>0.004</v>
      </c>
      <c r="P55" s="18" t="n">
        <v>0.006</v>
      </c>
      <c r="Q55" s="18" t="n">
        <v>0.008</v>
      </c>
      <c r="R55" s="18" t="n">
        <v>0</v>
      </c>
      <c r="S55" s="18" t="n">
        <v>0</v>
      </c>
      <c r="T55" s="18" t="n">
        <v>0</v>
      </c>
      <c r="V55" s="15" t="s">
        <v>497</v>
      </c>
      <c r="W55" s="18" t="n">
        <f aca="false">IF($C55=YEAR(Model_Start_Date),1,W54*(1+N55))</f>
        <v>2.34318935534539</v>
      </c>
      <c r="X55" s="18" t="n">
        <f aca="false">IF($C55=YEAR(Model_Start_Date),1,X54*(1+O55))</f>
        <v>1.18727042816904</v>
      </c>
      <c r="Y55" s="18" t="n">
        <f aca="false">IF($C55=YEAR(Model_Start_Date),1,Y54*(1+P55))</f>
        <v>1.29334137422826</v>
      </c>
      <c r="Z55" s="18" t="n">
        <f aca="false">IF($C55=YEAR(Model_Start_Date),1,Z54*(1+Q55))</f>
        <v>1.4086492900096</v>
      </c>
      <c r="AA55" s="18" t="n">
        <f aca="false">IF($C55=YEAR(Model_Start_Date),1,AA54*(1+R55))</f>
        <v>1</v>
      </c>
      <c r="AB55" s="18" t="n">
        <f aca="false">IF($C55=YEAR(Model_Start_Date),1,AB54*(1+S55))</f>
        <v>1</v>
      </c>
      <c r="AC55" s="18" t="n">
        <f aca="false">IF($C55=YEAR(Model_Start_Date),1,AC54*(1+T55))</f>
        <v>1</v>
      </c>
    </row>
    <row r="56" customFormat="false" ht="13.8" hidden="false" customHeight="false" outlineLevel="1" collapsed="false">
      <c r="A56" s="1"/>
      <c r="B56" s="61" t="n">
        <f aca="false">B55+1</f>
        <v>45</v>
      </c>
      <c r="C56" s="86" t="n">
        <f aca="false">C55+1</f>
        <v>2069</v>
      </c>
      <c r="E56" s="15" t="s">
        <v>497</v>
      </c>
      <c r="F56" s="63" t="n">
        <v>0.02</v>
      </c>
      <c r="G56" s="18" t="n">
        <f aca="false">G$10*$F56</f>
        <v>0.004</v>
      </c>
      <c r="H56" s="18" t="n">
        <f aca="false">H$10*$F56</f>
        <v>0.006</v>
      </c>
      <c r="I56" s="18" t="n">
        <f aca="false">I$10*$F56</f>
        <v>0.008</v>
      </c>
      <c r="J56" s="63"/>
      <c r="K56" s="63"/>
      <c r="L56" s="63"/>
      <c r="M56" s="15" t="s">
        <v>497</v>
      </c>
      <c r="N56" s="18" t="n">
        <v>0.02</v>
      </c>
      <c r="O56" s="18" t="n">
        <v>0.004</v>
      </c>
      <c r="P56" s="18" t="n">
        <v>0.006</v>
      </c>
      <c r="Q56" s="18" t="n">
        <v>0.008</v>
      </c>
      <c r="R56" s="18" t="n">
        <v>0</v>
      </c>
      <c r="S56" s="18" t="n">
        <v>0</v>
      </c>
      <c r="T56" s="18" t="n">
        <v>0</v>
      </c>
      <c r="V56" s="15" t="s">
        <v>497</v>
      </c>
      <c r="W56" s="18" t="n">
        <f aca="false">IF($C56=YEAR(Model_Start_Date),1,W55*(1+N56))</f>
        <v>2.3900531424523</v>
      </c>
      <c r="X56" s="18" t="n">
        <f aca="false">IF($C56=YEAR(Model_Start_Date),1,X55*(1+O56))</f>
        <v>1.19201950988172</v>
      </c>
      <c r="Y56" s="18" t="n">
        <f aca="false">IF($C56=YEAR(Model_Start_Date),1,Y55*(1+P56))</f>
        <v>1.30110142247362</v>
      </c>
      <c r="Z56" s="18" t="n">
        <f aca="false">IF($C56=YEAR(Model_Start_Date),1,Z55*(1+Q56))</f>
        <v>1.41991848432968</v>
      </c>
      <c r="AA56" s="18" t="n">
        <f aca="false">IF($C56=YEAR(Model_Start_Date),1,AA55*(1+R56))</f>
        <v>1</v>
      </c>
      <c r="AB56" s="18" t="n">
        <f aca="false">IF($C56=YEAR(Model_Start_Date),1,AB55*(1+S56))</f>
        <v>1</v>
      </c>
      <c r="AC56" s="18" t="n">
        <f aca="false">IF($C56=YEAR(Model_Start_Date),1,AC55*(1+T56))</f>
        <v>1</v>
      </c>
    </row>
    <row r="57" customFormat="false" ht="13.8" hidden="false" customHeight="false" outlineLevel="1" collapsed="false">
      <c r="A57" s="1"/>
      <c r="B57" s="61" t="n">
        <f aca="false">B56+1</f>
        <v>46</v>
      </c>
      <c r="C57" s="86" t="n">
        <f aca="false">C56+1</f>
        <v>2070</v>
      </c>
      <c r="E57" s="15" t="s">
        <v>497</v>
      </c>
      <c r="F57" s="63" t="n">
        <v>0.02</v>
      </c>
      <c r="G57" s="18" t="n">
        <f aca="false">G$10*$F57</f>
        <v>0.004</v>
      </c>
      <c r="H57" s="18" t="n">
        <f aca="false">H$10*$F57</f>
        <v>0.006</v>
      </c>
      <c r="I57" s="18" t="n">
        <f aca="false">I$10*$F57</f>
        <v>0.008</v>
      </c>
      <c r="J57" s="63"/>
      <c r="K57" s="63"/>
      <c r="L57" s="63"/>
      <c r="M57" s="15" t="s">
        <v>497</v>
      </c>
      <c r="N57" s="18" t="n">
        <v>0.02</v>
      </c>
      <c r="O57" s="18" t="n">
        <v>0.004</v>
      </c>
      <c r="P57" s="18" t="n">
        <v>0.006</v>
      </c>
      <c r="Q57" s="18" t="n">
        <v>0.008</v>
      </c>
      <c r="R57" s="18" t="n">
        <v>0</v>
      </c>
      <c r="S57" s="18" t="n">
        <v>0</v>
      </c>
      <c r="T57" s="18" t="n">
        <v>0</v>
      </c>
      <c r="V57" s="15" t="s">
        <v>497</v>
      </c>
      <c r="W57" s="18" t="n">
        <f aca="false">IF($C57=YEAR(Model_Start_Date),1,W56*(1+N57))</f>
        <v>2.43785420530135</v>
      </c>
      <c r="X57" s="18" t="n">
        <f aca="false">IF($C57=YEAR(Model_Start_Date),1,X56*(1+O57))</f>
        <v>1.19678758792124</v>
      </c>
      <c r="Y57" s="18" t="n">
        <f aca="false">IF($C57=YEAR(Model_Start_Date),1,Y56*(1+P57))</f>
        <v>1.30890803100847</v>
      </c>
      <c r="Z57" s="18" t="n">
        <f aca="false">IF($C57=YEAR(Model_Start_Date),1,Z56*(1+Q57))</f>
        <v>1.43127783220432</v>
      </c>
      <c r="AA57" s="18" t="n">
        <f aca="false">IF($C57=YEAR(Model_Start_Date),1,AA56*(1+R57))</f>
        <v>1</v>
      </c>
      <c r="AB57" s="18" t="n">
        <f aca="false">IF($C57=YEAR(Model_Start_Date),1,AB56*(1+S57))</f>
        <v>1</v>
      </c>
      <c r="AC57" s="18" t="n">
        <f aca="false">IF($C57=YEAR(Model_Start_Date),1,AC56*(1+T57))</f>
        <v>1</v>
      </c>
    </row>
    <row r="58" customFormat="false" ht="13.8" hidden="false" customHeight="false" outlineLevel="1" collapsed="false">
      <c r="A58" s="1"/>
      <c r="B58" s="61" t="n">
        <f aca="false">B57+1</f>
        <v>47</v>
      </c>
      <c r="C58" s="86" t="n">
        <f aca="false">C57+1</f>
        <v>2071</v>
      </c>
      <c r="E58" s="15" t="s">
        <v>497</v>
      </c>
      <c r="F58" s="63" t="n">
        <v>0.02</v>
      </c>
      <c r="G58" s="18" t="n">
        <f aca="false">G$10*$F58</f>
        <v>0.004</v>
      </c>
      <c r="H58" s="18" t="n">
        <f aca="false">H$10*$F58</f>
        <v>0.006</v>
      </c>
      <c r="I58" s="18" t="n">
        <f aca="false">I$10*$F58</f>
        <v>0.008</v>
      </c>
      <c r="J58" s="63"/>
      <c r="K58" s="63"/>
      <c r="L58" s="63"/>
      <c r="M58" s="15" t="s">
        <v>497</v>
      </c>
      <c r="N58" s="18" t="n">
        <v>0.02</v>
      </c>
      <c r="O58" s="18" t="n">
        <v>0.004</v>
      </c>
      <c r="P58" s="18" t="n">
        <v>0.006</v>
      </c>
      <c r="Q58" s="18" t="n">
        <v>0.008</v>
      </c>
      <c r="R58" s="18" t="n">
        <v>0</v>
      </c>
      <c r="S58" s="18" t="n">
        <v>0</v>
      </c>
      <c r="T58" s="18" t="n">
        <v>0</v>
      </c>
      <c r="V58" s="15" t="s">
        <v>497</v>
      </c>
      <c r="W58" s="18" t="n">
        <f aca="false">IF($C58=YEAR(Model_Start_Date),1,W57*(1+N58))</f>
        <v>2.48661128940737</v>
      </c>
      <c r="X58" s="18" t="n">
        <f aca="false">IF($C58=YEAR(Model_Start_Date),1,X57*(1+O58))</f>
        <v>1.20157473827293</v>
      </c>
      <c r="Y58" s="18" t="n">
        <f aca="false">IF($C58=YEAR(Model_Start_Date),1,Y57*(1+P58))</f>
        <v>1.31676147919452</v>
      </c>
      <c r="Z58" s="18" t="n">
        <f aca="false">IF($C58=YEAR(Model_Start_Date),1,Z57*(1+Q58))</f>
        <v>1.44272805486195</v>
      </c>
      <c r="AA58" s="18" t="n">
        <f aca="false">IF($C58=YEAR(Model_Start_Date),1,AA57*(1+R58))</f>
        <v>1</v>
      </c>
      <c r="AB58" s="18" t="n">
        <f aca="false">IF($C58=YEAR(Model_Start_Date),1,AB57*(1+S58))</f>
        <v>1</v>
      </c>
      <c r="AC58" s="18" t="n">
        <f aca="false">IF($C58=YEAR(Model_Start_Date),1,AC57*(1+T58))</f>
        <v>1</v>
      </c>
    </row>
    <row r="59" customFormat="false" ht="13.8" hidden="false" customHeight="false" outlineLevel="1" collapsed="false">
      <c r="A59" s="1"/>
      <c r="B59" s="61" t="n">
        <f aca="false">B58+1</f>
        <v>48</v>
      </c>
      <c r="C59" s="86" t="n">
        <f aca="false">C58+1</f>
        <v>2072</v>
      </c>
      <c r="E59" s="15" t="s">
        <v>497</v>
      </c>
      <c r="F59" s="63" t="n">
        <v>0.02</v>
      </c>
      <c r="G59" s="18" t="n">
        <f aca="false">G$10*$F59</f>
        <v>0.004</v>
      </c>
      <c r="H59" s="18" t="n">
        <f aca="false">H$10*$F59</f>
        <v>0.006</v>
      </c>
      <c r="I59" s="18" t="n">
        <f aca="false">I$10*$F59</f>
        <v>0.008</v>
      </c>
      <c r="J59" s="63"/>
      <c r="K59" s="63"/>
      <c r="L59" s="63"/>
      <c r="M59" s="15" t="s">
        <v>497</v>
      </c>
      <c r="N59" s="18" t="n">
        <v>0.02</v>
      </c>
      <c r="O59" s="18" t="n">
        <v>0.004</v>
      </c>
      <c r="P59" s="18" t="n">
        <v>0.006</v>
      </c>
      <c r="Q59" s="18" t="n">
        <v>0.008</v>
      </c>
      <c r="R59" s="18" t="n">
        <v>0</v>
      </c>
      <c r="S59" s="18" t="n">
        <v>0</v>
      </c>
      <c r="T59" s="18" t="n">
        <v>0</v>
      </c>
      <c r="V59" s="15" t="s">
        <v>497</v>
      </c>
      <c r="W59" s="18" t="n">
        <f aca="false">IF($C59=YEAR(Model_Start_Date),1,W58*(1+N59))</f>
        <v>2.53634351519552</v>
      </c>
      <c r="X59" s="18" t="n">
        <f aca="false">IF($C59=YEAR(Model_Start_Date),1,X58*(1+O59))</f>
        <v>1.20638103722602</v>
      </c>
      <c r="Y59" s="18" t="n">
        <f aca="false">IF($C59=YEAR(Model_Start_Date),1,Y58*(1+P59))</f>
        <v>1.32466204806968</v>
      </c>
      <c r="Z59" s="18" t="n">
        <f aca="false">IF($C59=YEAR(Model_Start_Date),1,Z58*(1+Q59))</f>
        <v>1.45426987930085</v>
      </c>
      <c r="AA59" s="18" t="n">
        <f aca="false">IF($C59=YEAR(Model_Start_Date),1,AA58*(1+R59))</f>
        <v>1</v>
      </c>
      <c r="AB59" s="18" t="n">
        <f aca="false">IF($C59=YEAR(Model_Start_Date),1,AB58*(1+S59))</f>
        <v>1</v>
      </c>
      <c r="AC59" s="18" t="n">
        <f aca="false">IF($C59=YEAR(Model_Start_Date),1,AC58*(1+T59))</f>
        <v>1</v>
      </c>
    </row>
    <row r="60" customFormat="false" ht="13.8" hidden="false" customHeight="false" outlineLevel="1" collapsed="false">
      <c r="A60" s="1"/>
      <c r="B60" s="61" t="n">
        <f aca="false">B59+1</f>
        <v>49</v>
      </c>
      <c r="C60" s="86" t="n">
        <f aca="false">C59+1</f>
        <v>2073</v>
      </c>
      <c r="E60" s="15" t="s">
        <v>497</v>
      </c>
      <c r="F60" s="63" t="n">
        <v>0.02</v>
      </c>
      <c r="G60" s="18" t="n">
        <f aca="false">G$10*$F60</f>
        <v>0.004</v>
      </c>
      <c r="H60" s="18" t="n">
        <f aca="false">H$10*$F60</f>
        <v>0.006</v>
      </c>
      <c r="I60" s="18" t="n">
        <f aca="false">I$10*$F60</f>
        <v>0.008</v>
      </c>
      <c r="J60" s="63"/>
      <c r="K60" s="63"/>
      <c r="L60" s="63"/>
      <c r="M60" s="15" t="s">
        <v>497</v>
      </c>
      <c r="N60" s="18" t="n">
        <v>0.02</v>
      </c>
      <c r="O60" s="18" t="n">
        <v>0.004</v>
      </c>
      <c r="P60" s="18" t="n">
        <v>0.006</v>
      </c>
      <c r="Q60" s="18" t="n">
        <v>0.008</v>
      </c>
      <c r="R60" s="18" t="n">
        <v>0</v>
      </c>
      <c r="S60" s="18" t="n">
        <v>0</v>
      </c>
      <c r="T60" s="18" t="n">
        <v>0</v>
      </c>
      <c r="V60" s="15" t="s">
        <v>497</v>
      </c>
      <c r="W60" s="18" t="n">
        <f aca="false">IF($C60=YEAR(Model_Start_Date),1,W59*(1+N60))</f>
        <v>2.58707038549943</v>
      </c>
      <c r="X60" s="18" t="n">
        <f aca="false">IF($C60=YEAR(Model_Start_Date),1,X59*(1+O60))</f>
        <v>1.21120656137493</v>
      </c>
      <c r="Y60" s="18" t="n">
        <f aca="false">IF($C60=YEAR(Model_Start_Date),1,Y59*(1+P60))</f>
        <v>1.3326100203581</v>
      </c>
      <c r="Z60" s="18" t="n">
        <f aca="false">IF($C60=YEAR(Model_Start_Date),1,Z59*(1+Q60))</f>
        <v>1.46590403833526</v>
      </c>
      <c r="AA60" s="18" t="n">
        <f aca="false">IF($C60=YEAR(Model_Start_Date),1,AA59*(1+R60))</f>
        <v>1</v>
      </c>
      <c r="AB60" s="18" t="n">
        <f aca="false">IF($C60=YEAR(Model_Start_Date),1,AB59*(1+S60))</f>
        <v>1</v>
      </c>
      <c r="AC60" s="18" t="n">
        <f aca="false">IF($C60=YEAR(Model_Start_Date),1,AC59*(1+T60))</f>
        <v>1</v>
      </c>
    </row>
    <row r="61" customFormat="false" ht="13.8" hidden="false" customHeight="false" outlineLevel="1" collapsed="false">
      <c r="A61" s="1"/>
      <c r="B61" s="61" t="n">
        <f aca="false">B60+1</f>
        <v>50</v>
      </c>
      <c r="C61" s="86" t="n">
        <f aca="false">C60+1</f>
        <v>2074</v>
      </c>
      <c r="E61" s="15" t="s">
        <v>497</v>
      </c>
      <c r="F61" s="63" t="n">
        <v>0.02</v>
      </c>
      <c r="G61" s="18" t="n">
        <f aca="false">G$10*$F61</f>
        <v>0.004</v>
      </c>
      <c r="H61" s="18" t="n">
        <f aca="false">H$10*$F61</f>
        <v>0.006</v>
      </c>
      <c r="I61" s="18" t="n">
        <f aca="false">I$10*$F61</f>
        <v>0.008</v>
      </c>
      <c r="J61" s="63"/>
      <c r="K61" s="63"/>
      <c r="L61" s="63"/>
      <c r="M61" s="15" t="s">
        <v>497</v>
      </c>
      <c r="N61" s="18" t="n">
        <v>0.02</v>
      </c>
      <c r="O61" s="18" t="n">
        <v>0.004</v>
      </c>
      <c r="P61" s="18" t="n">
        <v>0.006</v>
      </c>
      <c r="Q61" s="18" t="n">
        <v>0.008</v>
      </c>
      <c r="R61" s="18" t="n">
        <v>0</v>
      </c>
      <c r="S61" s="18" t="n">
        <v>0</v>
      </c>
      <c r="T61" s="18" t="n">
        <v>0</v>
      </c>
      <c r="V61" s="15" t="s">
        <v>497</v>
      </c>
      <c r="W61" s="18" t="n">
        <f aca="false">IF($C61=YEAR(Model_Start_Date),1,W60*(1+N61))</f>
        <v>2.63881179320942</v>
      </c>
      <c r="X61" s="18" t="n">
        <f aca="false">IF($C61=YEAR(Model_Start_Date),1,X60*(1+O61))</f>
        <v>1.21605138762042</v>
      </c>
      <c r="Y61" s="18" t="n">
        <f aca="false">IF($C61=YEAR(Model_Start_Date),1,Y60*(1+P61))</f>
        <v>1.34060568048025</v>
      </c>
      <c r="Z61" s="18" t="n">
        <f aca="false">IF($C61=YEAR(Model_Start_Date),1,Z60*(1+Q61))</f>
        <v>1.47763127064194</v>
      </c>
      <c r="AA61" s="18" t="n">
        <f aca="false">IF($C61=YEAR(Model_Start_Date),1,AA60*(1+R61))</f>
        <v>1</v>
      </c>
      <c r="AB61" s="18" t="n">
        <f aca="false">IF($C61=YEAR(Model_Start_Date),1,AB60*(1+S61))</f>
        <v>1</v>
      </c>
      <c r="AC61" s="18" t="n">
        <f aca="false">IF($C61=YEAR(Model_Start_Date),1,AC60*(1+T61))</f>
        <v>1</v>
      </c>
    </row>
    <row r="62" customFormat="false" ht="13.8" hidden="false" customHeight="false" outlineLevel="1" collapsed="false">
      <c r="A62" s="1"/>
      <c r="B62" s="61" t="n">
        <f aca="false">B61+1</f>
        <v>51</v>
      </c>
      <c r="C62" s="86" t="n">
        <f aca="false">C61+1</f>
        <v>2075</v>
      </c>
      <c r="E62" s="15" t="s">
        <v>497</v>
      </c>
      <c r="F62" s="63" t="n">
        <v>0.02</v>
      </c>
      <c r="G62" s="18" t="n">
        <f aca="false">G$10*$F62</f>
        <v>0.004</v>
      </c>
      <c r="H62" s="18" t="n">
        <f aca="false">H$10*$F62</f>
        <v>0.006</v>
      </c>
      <c r="I62" s="18" t="n">
        <f aca="false">I$10*$F62</f>
        <v>0.008</v>
      </c>
      <c r="J62" s="63"/>
      <c r="K62" s="63"/>
      <c r="L62" s="63"/>
      <c r="M62" s="15" t="s">
        <v>497</v>
      </c>
      <c r="N62" s="18" t="n">
        <v>0.02</v>
      </c>
      <c r="O62" s="18" t="n">
        <v>0.004</v>
      </c>
      <c r="P62" s="18" t="n">
        <v>0.006</v>
      </c>
      <c r="Q62" s="18" t="n">
        <v>0.008</v>
      </c>
      <c r="R62" s="18" t="n">
        <v>0</v>
      </c>
      <c r="S62" s="18" t="n">
        <v>0</v>
      </c>
      <c r="T62" s="18" t="n">
        <v>0</v>
      </c>
      <c r="V62" s="15" t="s">
        <v>497</v>
      </c>
      <c r="W62" s="18" t="n">
        <f aca="false">IF($C62=YEAR(Model_Start_Date),1,W61*(1+N62))</f>
        <v>2.69158802907361</v>
      </c>
      <c r="X62" s="18" t="n">
        <f aca="false">IF($C62=YEAR(Model_Start_Date),1,X61*(1+O62))</f>
        <v>1.22091559317091</v>
      </c>
      <c r="Y62" s="18" t="n">
        <f aca="false">IF($C62=YEAR(Model_Start_Date),1,Y61*(1+P62))</f>
        <v>1.34864931456313</v>
      </c>
      <c r="Z62" s="18" t="n">
        <f aca="false">IF($C62=YEAR(Model_Start_Date),1,Z61*(1+Q62))</f>
        <v>1.48945232080707</v>
      </c>
      <c r="AA62" s="18" t="n">
        <f aca="false">IF($C62=YEAR(Model_Start_Date),1,AA61*(1+R62))</f>
        <v>1</v>
      </c>
      <c r="AB62" s="18" t="n">
        <f aca="false">IF($C62=YEAR(Model_Start_Date),1,AB61*(1+S62))</f>
        <v>1</v>
      </c>
      <c r="AC62" s="18" t="n">
        <f aca="false">IF($C62=YEAR(Model_Start_Date),1,AC61*(1+T62))</f>
        <v>1</v>
      </c>
    </row>
    <row r="63" customFormat="false" ht="13.8" hidden="false" customHeight="false" outlineLevel="1" collapsed="false">
      <c r="A63" s="40" t="s">
        <v>499</v>
      </c>
      <c r="B63" s="61" t="n">
        <f aca="false">B62+1</f>
        <v>52</v>
      </c>
      <c r="C63" s="86" t="n">
        <f aca="false">C62+1</f>
        <v>2076</v>
      </c>
      <c r="E63" s="15" t="s">
        <v>497</v>
      </c>
      <c r="F63" s="63" t="n">
        <v>0.02</v>
      </c>
      <c r="G63" s="18" t="n">
        <f aca="false">G$10*$F63</f>
        <v>0.004</v>
      </c>
      <c r="H63" s="18" t="n">
        <f aca="false">H$10*$F63</f>
        <v>0.006</v>
      </c>
      <c r="I63" s="18" t="n">
        <f aca="false">I$10*$F63</f>
        <v>0.008</v>
      </c>
      <c r="J63" s="63"/>
      <c r="K63" s="63"/>
      <c r="L63" s="63"/>
      <c r="M63" s="15" t="s">
        <v>497</v>
      </c>
      <c r="N63" s="18" t="n">
        <v>0.02</v>
      </c>
      <c r="O63" s="18" t="n">
        <v>0.004</v>
      </c>
      <c r="P63" s="18" t="n">
        <v>0.006</v>
      </c>
      <c r="Q63" s="18" t="n">
        <v>0.008</v>
      </c>
      <c r="R63" s="18" t="n">
        <v>0</v>
      </c>
      <c r="S63" s="18" t="n">
        <v>0</v>
      </c>
      <c r="T63" s="18" t="n">
        <v>0</v>
      </c>
      <c r="V63" s="15" t="s">
        <v>497</v>
      </c>
      <c r="W63" s="18" t="n">
        <f aca="false">IF($C63=YEAR(Model_Start_Date),1,W62*(1+N63))</f>
        <v>2.74541978965508</v>
      </c>
      <c r="X63" s="18" t="n">
        <f aca="false">IF($C63=YEAR(Model_Start_Date),1,X62*(1+O63))</f>
        <v>1.22579925554359</v>
      </c>
      <c r="Y63" s="18" t="n">
        <f aca="false">IF($C63=YEAR(Model_Start_Date),1,Y62*(1+P63))</f>
        <v>1.35674121045051</v>
      </c>
      <c r="Z63" s="18" t="n">
        <f aca="false">IF($C63=YEAR(Model_Start_Date),1,Z62*(1+Q63))</f>
        <v>1.50136793937353</v>
      </c>
      <c r="AA63" s="18" t="n">
        <f aca="false">IF($C63=YEAR(Model_Start_Date),1,AA62*(1+R63))</f>
        <v>1</v>
      </c>
      <c r="AB63" s="18" t="n">
        <f aca="false">IF($C63=YEAR(Model_Start_Date),1,AB62*(1+S63))</f>
        <v>1</v>
      </c>
      <c r="AC63" s="18" t="n">
        <f aca="false">IF($C63=YEAR(Model_Start_Date),1,AC62*(1+T63))</f>
        <v>1</v>
      </c>
    </row>
    <row r="64" customFormat="false" ht="13.8" hidden="false" customHeight="false" outlineLevel="1" collapsed="false">
      <c r="A64" s="1"/>
      <c r="B64" s="1"/>
      <c r="C64" s="1"/>
      <c r="D64" s="1"/>
      <c r="E64" s="1"/>
      <c r="F64" s="1"/>
      <c r="G64" s="1"/>
      <c r="H64" s="1"/>
      <c r="I64" s="1"/>
      <c r="J64" s="1"/>
      <c r="K64" s="1"/>
      <c r="L64" s="1"/>
      <c r="M64" s="1"/>
      <c r="N64" s="1"/>
      <c r="O64" s="1"/>
      <c r="P64" s="1"/>
      <c r="Q64" s="1"/>
      <c r="R64" s="1"/>
      <c r="S64" s="1"/>
      <c r="T64" s="1"/>
      <c r="V64" s="126"/>
    </row>
    <row r="65" customFormat="false" ht="13.8" hidden="false" customHeight="false" outlineLevel="1" collapsed="false">
      <c r="A65" s="1"/>
      <c r="B65" s="1"/>
      <c r="C65" s="1"/>
      <c r="D65" s="1"/>
      <c r="E65" s="1"/>
      <c r="F65" s="1"/>
      <c r="G65" s="1"/>
      <c r="H65" s="1"/>
      <c r="I65" s="1"/>
      <c r="J65" s="1"/>
      <c r="K65" s="1"/>
      <c r="L65" s="1"/>
      <c r="M65" s="1"/>
      <c r="N65" s="1"/>
      <c r="O65" s="1"/>
      <c r="P65" s="1"/>
      <c r="Q65" s="1"/>
      <c r="R65" s="1"/>
      <c r="S65" s="1"/>
      <c r="T65" s="1"/>
    </row>
    <row r="66" customFormat="false" ht="13.8" hidden="false" customHeight="false" outlineLevel="1" collapsed="false">
      <c r="A66" s="1"/>
      <c r="B66" s="1"/>
      <c r="C66" s="1"/>
      <c r="D66" s="1"/>
      <c r="E66" s="1"/>
      <c r="F66" s="1"/>
      <c r="G66" s="1"/>
      <c r="H66" s="1"/>
      <c r="I66" s="1"/>
      <c r="J66" s="1"/>
      <c r="K66" s="1"/>
      <c r="L66" s="1"/>
      <c r="M66" s="1"/>
      <c r="N66" s="1"/>
      <c r="O66" s="1"/>
      <c r="P66" s="1"/>
      <c r="Q66" s="1"/>
      <c r="R66" s="1"/>
      <c r="S66" s="1"/>
      <c r="T66" s="1"/>
    </row>
    <row r="67" customFormat="false" ht="13.8" hidden="false" customHeight="false" outlineLevel="1" collapsed="false">
      <c r="A67" s="1"/>
      <c r="B67" s="1"/>
      <c r="C67" s="1"/>
      <c r="D67" s="1"/>
      <c r="E67" s="1"/>
      <c r="F67" s="1"/>
      <c r="G67" s="1"/>
      <c r="H67" s="1"/>
      <c r="I67" s="1"/>
      <c r="J67" s="1"/>
      <c r="K67" s="1"/>
      <c r="L67" s="1"/>
      <c r="M67" s="1"/>
      <c r="N67" s="1"/>
      <c r="O67" s="1"/>
      <c r="P67" s="1"/>
      <c r="Q67" s="1"/>
      <c r="R67" s="1"/>
      <c r="S67" s="1"/>
      <c r="T67" s="1"/>
    </row>
    <row r="68" customFormat="false" ht="13.8" hidden="false" customHeight="false" outlineLevel="1" collapsed="false">
      <c r="A68" s="1"/>
      <c r="B68" s="1"/>
      <c r="C68" s="1"/>
      <c r="D68" s="1"/>
      <c r="E68" s="1"/>
      <c r="F68" s="1"/>
      <c r="G68" s="1"/>
      <c r="H68" s="1"/>
      <c r="I68" s="1"/>
      <c r="J68" s="1"/>
      <c r="K68" s="1"/>
      <c r="L68" s="1"/>
      <c r="M68" s="1"/>
      <c r="N68" s="1"/>
      <c r="O68" s="1"/>
      <c r="P68" s="1"/>
      <c r="Q68" s="1"/>
      <c r="R68" s="1"/>
      <c r="S68" s="1"/>
      <c r="T68" s="1"/>
    </row>
    <row r="69" customFormat="false" ht="13.8" hidden="false" customHeight="false" outlineLevel="1" collapsed="false">
      <c r="A69" s="1"/>
      <c r="B69" s="1"/>
      <c r="C69" s="1"/>
      <c r="D69" s="1"/>
      <c r="E69" s="1"/>
      <c r="F69" s="1"/>
      <c r="G69" s="1"/>
      <c r="H69" s="1"/>
      <c r="I69" s="1"/>
      <c r="J69" s="1"/>
      <c r="K69" s="1"/>
      <c r="L69" s="1"/>
      <c r="M69" s="1"/>
      <c r="N69" s="1"/>
      <c r="O69" s="1"/>
      <c r="P69" s="1"/>
      <c r="Q69" s="1"/>
      <c r="R69" s="1"/>
      <c r="S69" s="1"/>
      <c r="T69" s="1"/>
      <c r="U69" s="1"/>
    </row>
    <row r="70" customFormat="false" ht="13.8" hidden="false" customHeight="false" outlineLevel="0" collapsed="false">
      <c r="A70" s="1"/>
      <c r="B70" s="11" t="n">
        <f aca="false">B6+1</f>
        <v>2</v>
      </c>
      <c r="C70" s="11" t="s">
        <v>500</v>
      </c>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row>
    <row r="71" customFormat="false" ht="13.8" hidden="false" customHeight="false" outlineLevel="1" collapsed="false">
      <c r="A71" s="1"/>
      <c r="B71" s="1"/>
      <c r="C71" s="1"/>
      <c r="D71" s="1"/>
      <c r="E71" s="1"/>
      <c r="F71" s="1"/>
      <c r="G71" s="1"/>
      <c r="H71" s="1"/>
      <c r="I71" s="1"/>
      <c r="J71" s="1"/>
      <c r="K71" s="1"/>
      <c r="L71" s="1"/>
      <c r="M71" s="1"/>
      <c r="N71" s="1"/>
      <c r="O71" s="1"/>
      <c r="P71" s="1"/>
      <c r="Q71" s="1"/>
      <c r="R71" s="1"/>
      <c r="S71" s="1"/>
      <c r="T71" s="1"/>
      <c r="U71" s="1"/>
    </row>
    <row r="72" customFormat="false" ht="13.8" hidden="false" customHeight="false" outlineLevel="1" collapsed="false">
      <c r="C72" s="1"/>
      <c r="D72" s="1"/>
      <c r="E72" s="1"/>
      <c r="F72" s="1"/>
      <c r="G72" s="1"/>
      <c r="I72" s="6" t="s">
        <v>492</v>
      </c>
      <c r="O72" s="127" t="s">
        <v>501</v>
      </c>
    </row>
    <row r="73" customFormat="false" ht="13.8" hidden="false" customHeight="false" outlineLevel="1" collapsed="false">
      <c r="A73" s="40" t="s">
        <v>502</v>
      </c>
      <c r="B73" s="1"/>
      <c r="C73" s="1"/>
      <c r="D73" s="1"/>
      <c r="E73" s="1"/>
      <c r="F73" s="1"/>
      <c r="G73" s="1"/>
      <c r="H73" s="1"/>
      <c r="I73" s="5" t="s">
        <v>503</v>
      </c>
      <c r="J73" s="1"/>
      <c r="K73" s="1"/>
      <c r="L73" s="1"/>
      <c r="M73" s="1"/>
      <c r="N73" s="94" t="s">
        <v>504</v>
      </c>
      <c r="O73" s="94" t="s">
        <v>505</v>
      </c>
      <c r="P73" s="94" t="s">
        <v>434</v>
      </c>
      <c r="Q73" s="94" t="s">
        <v>432</v>
      </c>
      <c r="R73" s="100" t="s">
        <v>349</v>
      </c>
      <c r="S73" s="100" t="s">
        <v>506</v>
      </c>
      <c r="T73" s="94" t="s">
        <v>507</v>
      </c>
      <c r="U73" s="94"/>
      <c r="V73" s="94" t="s">
        <v>508</v>
      </c>
      <c r="W73" s="94" t="s">
        <v>509</v>
      </c>
      <c r="X73" s="94"/>
    </row>
    <row r="74" customFormat="false" ht="13.8" hidden="false" customHeight="false" outlineLevel="1" collapsed="false">
      <c r="A74" s="1"/>
      <c r="B74" s="1"/>
      <c r="C74" s="1"/>
      <c r="D74" s="1"/>
      <c r="E74" s="1"/>
      <c r="F74" s="1"/>
      <c r="G74" s="1"/>
      <c r="H74" s="1"/>
      <c r="I74" s="1"/>
      <c r="J74" s="1"/>
      <c r="K74" s="1"/>
      <c r="L74" s="1"/>
      <c r="M74" s="1"/>
      <c r="N74" s="1"/>
      <c r="O74" s="1"/>
      <c r="P74" s="1"/>
      <c r="Q74" s="1"/>
      <c r="R74" s="1"/>
      <c r="S74" s="1"/>
      <c r="T74" s="1"/>
      <c r="U74" s="1"/>
      <c r="V74" s="1"/>
      <c r="W74" s="1"/>
      <c r="X74" s="1"/>
    </row>
    <row r="75" customFormat="false" ht="13.8" hidden="false" customHeight="false" outlineLevel="1" collapsed="false">
      <c r="A75" s="1"/>
      <c r="B75" s="1"/>
      <c r="C75" s="1"/>
      <c r="D75" s="1"/>
      <c r="E75" s="1"/>
      <c r="F75" s="1"/>
      <c r="G75" s="1"/>
      <c r="H75" s="14" t="s">
        <v>232</v>
      </c>
      <c r="I75" s="14" t="s">
        <v>148</v>
      </c>
      <c r="J75" s="1"/>
      <c r="K75" s="1"/>
      <c r="L75" s="1"/>
      <c r="M75" s="1"/>
      <c r="N75" s="1"/>
      <c r="O75" s="1"/>
      <c r="P75" s="1"/>
      <c r="Q75" s="1"/>
      <c r="R75" s="1"/>
      <c r="S75" s="1"/>
      <c r="T75" s="1"/>
      <c r="U75" s="1"/>
      <c r="V75" s="1"/>
      <c r="W75" s="1"/>
      <c r="X75" s="1"/>
    </row>
    <row r="76" customFormat="false" ht="13.8" hidden="false" customHeight="false" outlineLevel="1" collapsed="false">
      <c r="A76" s="1"/>
      <c r="B76" s="1"/>
      <c r="C76" s="1"/>
      <c r="D76" s="1"/>
      <c r="E76" s="1"/>
      <c r="F76" s="1"/>
      <c r="G76" s="1"/>
      <c r="H76" s="61" t="n">
        <v>1</v>
      </c>
      <c r="I76" s="86" t="n">
        <f aca="false">C12</f>
        <v>2025</v>
      </c>
      <c r="J76" s="1"/>
      <c r="K76" s="1"/>
      <c r="L76" s="1"/>
      <c r="M76" s="15" t="s">
        <v>106</v>
      </c>
      <c r="N76" s="128" t="n">
        <f aca="false">Dashboard!T139</f>
        <v>0</v>
      </c>
      <c r="O76" s="93" t="n">
        <v>37.11753224175</v>
      </c>
      <c r="P76" s="93" t="n">
        <v>58.23793086945</v>
      </c>
      <c r="Q76" s="93" t="n">
        <v>30</v>
      </c>
      <c r="R76" s="93"/>
      <c r="S76" s="93" t="n">
        <v>50</v>
      </c>
      <c r="T76" s="93" t="n">
        <v>43.6</v>
      </c>
      <c r="U76" s="93"/>
      <c r="V76" s="93" t="n">
        <f aca="false">70%*P76+30%*O76</f>
        <v>51.90181128114</v>
      </c>
      <c r="W76" s="93" t="n">
        <f aca="false">80%*P76+20%*O76</f>
        <v>54.01385114391</v>
      </c>
      <c r="X76" s="93"/>
      <c r="AU76" s="5" t="n">
        <v>44.5784218793507</v>
      </c>
      <c r="AV76" s="5" t="n">
        <v>45.4699903169377</v>
      </c>
      <c r="AW76" s="5" t="n">
        <v>46.3793901232764</v>
      </c>
      <c r="AX76" s="5" t="n">
        <v>47.306977925742</v>
      </c>
      <c r="AY76" s="5" t="n">
        <v>48.2531174842568</v>
      </c>
      <c r="AZ76" s="5" t="n">
        <v>49.2181798339419</v>
      </c>
      <c r="BA76" s="5" t="n">
        <v>50.2025434306208</v>
      </c>
      <c r="BB76" s="5" t="n">
        <v>51.2065942992332</v>
      </c>
      <c r="BC76" s="5" t="n">
        <v>52.2307261852178</v>
      </c>
      <c r="BD76" s="5" t="n">
        <v>53.2753407089222</v>
      </c>
      <c r="BE76" s="5" t="n">
        <v>54.3408475231006</v>
      </c>
      <c r="BF76" s="5" t="n">
        <v>55.4276644735627</v>
      </c>
      <c r="BG76" s="5" t="n">
        <v>56.5362177630339</v>
      </c>
      <c r="BH76" s="5" t="n">
        <v>57.6669421182946</v>
      </c>
      <c r="BI76" s="5" t="n">
        <v>58.8202809606605</v>
      </c>
      <c r="BJ76" s="5" t="n">
        <v>59.9966865798737</v>
      </c>
      <c r="BK76" s="5" t="n">
        <v>61.1966203114712</v>
      </c>
      <c r="BL76" s="5" t="n">
        <v>62.4205527177006</v>
      </c>
      <c r="BM76" s="5" t="n">
        <v>63.6689637720546</v>
      </c>
      <c r="BN76" s="5" t="n">
        <v>64.9423430474957</v>
      </c>
    </row>
    <row r="77" customFormat="false" ht="13.8" hidden="false" customHeight="false" outlineLevel="1" collapsed="false">
      <c r="A77" s="1"/>
      <c r="B77" s="1"/>
      <c r="C77" s="1"/>
      <c r="D77" s="1"/>
      <c r="E77" s="1"/>
      <c r="F77" s="1"/>
      <c r="G77" s="1"/>
      <c r="H77" s="61" t="n">
        <f aca="false">H76+1</f>
        <v>2</v>
      </c>
      <c r="I77" s="86" t="n">
        <f aca="false">I76+1</f>
        <v>2026</v>
      </c>
      <c r="J77" s="1"/>
      <c r="K77" s="1"/>
      <c r="L77" s="1"/>
      <c r="M77" s="15" t="s">
        <v>106</v>
      </c>
      <c r="N77" s="93" t="n">
        <f aca="false">N76</f>
        <v>0</v>
      </c>
      <c r="O77" s="93" t="n">
        <v>30.4874459803425</v>
      </c>
      <c r="P77" s="93" t="n">
        <v>45.5179700475743</v>
      </c>
      <c r="Q77" s="93" t="n">
        <v>30.6</v>
      </c>
      <c r="R77" s="93"/>
      <c r="S77" s="93" t="n">
        <f aca="false">S76</f>
        <v>50</v>
      </c>
      <c r="T77" s="93" t="n">
        <v>36.3</v>
      </c>
      <c r="U77" s="93"/>
      <c r="V77" s="93" t="n">
        <f aca="false">70%*P77+30%*O77</f>
        <v>41.0088128274048</v>
      </c>
      <c r="W77" s="93" t="n">
        <f aca="false">80%*P77+20%*O77</f>
        <v>42.5118652341279</v>
      </c>
      <c r="X77" s="93"/>
    </row>
    <row r="78" customFormat="false" ht="13.8" hidden="false" customHeight="false" outlineLevel="1" collapsed="false">
      <c r="A78" s="1"/>
      <c r="B78" s="1"/>
      <c r="C78" s="1"/>
      <c r="D78" s="1"/>
      <c r="E78" s="1"/>
      <c r="F78" s="1"/>
      <c r="G78" s="1"/>
      <c r="H78" s="61" t="n">
        <f aca="false">H77+1</f>
        <v>3</v>
      </c>
      <c r="I78" s="86" t="n">
        <f aca="false">I77+1</f>
        <v>2027</v>
      </c>
      <c r="J78" s="1"/>
      <c r="K78" s="1"/>
      <c r="L78" s="1"/>
      <c r="M78" s="15" t="s">
        <v>106</v>
      </c>
      <c r="N78" s="93" t="n">
        <f aca="false">N77</f>
        <v>0</v>
      </c>
      <c r="O78" s="93" t="n">
        <v>26.8398170798144</v>
      </c>
      <c r="P78" s="93" t="n">
        <v>38.1407926923678</v>
      </c>
      <c r="Q78" s="93" t="n">
        <v>31.212</v>
      </c>
      <c r="R78" s="93"/>
      <c r="S78" s="93" t="n">
        <f aca="false">S77</f>
        <v>50</v>
      </c>
      <c r="T78" s="93" t="n">
        <v>30.96</v>
      </c>
      <c r="U78" s="93"/>
      <c r="V78" s="93" t="n">
        <f aca="false">70%*P78+30%*O78</f>
        <v>34.7505000086018</v>
      </c>
      <c r="W78" s="93" t="n">
        <f aca="false">80%*P78+20%*O78</f>
        <v>35.8805975698571</v>
      </c>
      <c r="X78" s="93"/>
    </row>
    <row r="79" customFormat="false" ht="13.8" hidden="false" customHeight="false" outlineLevel="1" collapsed="false">
      <c r="A79" s="1"/>
      <c r="B79" s="1"/>
      <c r="C79" s="1"/>
      <c r="D79" s="1"/>
      <c r="E79" s="1"/>
      <c r="F79" s="1"/>
      <c r="G79" s="1"/>
      <c r="H79" s="61" t="n">
        <f aca="false">H78+1</f>
        <v>4</v>
      </c>
      <c r="I79" s="86" t="n">
        <f aca="false">I78+1</f>
        <v>2028</v>
      </c>
      <c r="J79" s="1"/>
      <c r="K79" s="1"/>
      <c r="L79" s="1"/>
      <c r="M79" s="15" t="s">
        <v>106</v>
      </c>
      <c r="N79" s="93" t="n">
        <f aca="false">N78</f>
        <v>0</v>
      </c>
      <c r="O79" s="93" t="n">
        <v>28.690046492702</v>
      </c>
      <c r="P79" s="93" t="n">
        <v>39.1026502390881</v>
      </c>
      <c r="Q79" s="93" t="n">
        <v>31.83624</v>
      </c>
      <c r="R79" s="93"/>
      <c r="S79" s="93" t="n">
        <f aca="false">S78</f>
        <v>50</v>
      </c>
      <c r="T79" s="93" t="n">
        <v>30.16</v>
      </c>
      <c r="U79" s="93"/>
      <c r="V79" s="93" t="n">
        <f aca="false">70%*P79+30%*O79</f>
        <v>35.9788691151723</v>
      </c>
      <c r="W79" s="93" t="n">
        <f aca="false">80%*P79+20%*O79</f>
        <v>37.0201294898109</v>
      </c>
      <c r="X79" s="93"/>
    </row>
    <row r="80" customFormat="false" ht="13.8" hidden="false" customHeight="false" outlineLevel="1" collapsed="false">
      <c r="A80" s="1"/>
      <c r="B80" s="1"/>
      <c r="C80" s="1"/>
      <c r="D80" s="1"/>
      <c r="E80" s="1"/>
      <c r="F80" s="1"/>
      <c r="G80" s="1"/>
      <c r="H80" s="61" t="n">
        <f aca="false">H79+1</f>
        <v>5</v>
      </c>
      <c r="I80" s="86" t="n">
        <f aca="false">I79+1</f>
        <v>2029</v>
      </c>
      <c r="J80" s="1"/>
      <c r="K80" s="1"/>
      <c r="L80" s="1"/>
      <c r="M80" s="15" t="s">
        <v>106</v>
      </c>
      <c r="N80" s="93" t="n">
        <f aca="false">N79</f>
        <v>0</v>
      </c>
      <c r="O80" s="93" t="n">
        <v>33.5346842983452</v>
      </c>
      <c r="P80" s="93" t="n">
        <v>46.971140296672</v>
      </c>
      <c r="Q80" s="93" t="n">
        <v>32.4729648</v>
      </c>
      <c r="R80" s="93"/>
      <c r="S80" s="93" t="n">
        <f aca="false">S79</f>
        <v>50</v>
      </c>
      <c r="T80" s="93" t="n">
        <v>32.51</v>
      </c>
      <c r="U80" s="93"/>
      <c r="V80" s="93" t="n">
        <f aca="false">70%*P80+30%*O80</f>
        <v>42.940203497174</v>
      </c>
      <c r="W80" s="93" t="n">
        <f aca="false">80%*P80+20%*O80</f>
        <v>44.2838490970066</v>
      </c>
      <c r="X80" s="93"/>
    </row>
    <row r="81" customFormat="false" ht="13.8" hidden="false" customHeight="false" outlineLevel="1" collapsed="false">
      <c r="A81" s="1"/>
      <c r="B81" s="1"/>
      <c r="C81" s="1"/>
      <c r="D81" s="1"/>
      <c r="E81" s="1"/>
      <c r="F81" s="1"/>
      <c r="G81" s="1"/>
      <c r="H81" s="61" t="n">
        <f aca="false">H80+1</f>
        <v>6</v>
      </c>
      <c r="I81" s="86" t="n">
        <f aca="false">I80+1</f>
        <v>2030</v>
      </c>
      <c r="J81" s="1"/>
      <c r="K81" s="1"/>
      <c r="L81" s="1"/>
      <c r="M81" s="15" t="s">
        <v>106</v>
      </c>
      <c r="N81" s="93" t="n">
        <f aca="false">N80</f>
        <v>0</v>
      </c>
      <c r="O81" s="93" t="n">
        <v>37.7756362924389</v>
      </c>
      <c r="P81" s="93" t="n">
        <v>52.4021783934747</v>
      </c>
      <c r="Q81" s="93" t="n">
        <v>33.122424096</v>
      </c>
      <c r="R81" s="93"/>
      <c r="S81" s="93" t="n">
        <f aca="false">S80</f>
        <v>50</v>
      </c>
      <c r="T81" s="93" t="n">
        <v>34.83</v>
      </c>
      <c r="U81" s="93"/>
      <c r="V81" s="93" t="n">
        <f aca="false">70%*P81+30%*O81</f>
        <v>48.014215763164</v>
      </c>
      <c r="W81" s="93" t="n">
        <f aca="false">80%*P81+20%*O81</f>
        <v>49.4768699732675</v>
      </c>
      <c r="X81" s="93"/>
    </row>
    <row r="82" customFormat="false" ht="13.8" hidden="false" customHeight="false" outlineLevel="1" collapsed="false">
      <c r="A82" s="1"/>
      <c r="B82" s="1"/>
      <c r="C82" s="1"/>
      <c r="D82" s="1"/>
      <c r="E82" s="1"/>
      <c r="F82" s="1"/>
      <c r="G82" s="1"/>
      <c r="H82" s="61" t="n">
        <f aca="false">H81+1</f>
        <v>7</v>
      </c>
      <c r="I82" s="86" t="n">
        <f aca="false">I81+1</f>
        <v>2031</v>
      </c>
      <c r="J82" s="1"/>
      <c r="K82" s="1"/>
      <c r="L82" s="1"/>
      <c r="M82" s="15" t="s">
        <v>106</v>
      </c>
      <c r="N82" s="93" t="n">
        <f aca="false">N81</f>
        <v>0</v>
      </c>
      <c r="O82" s="93" t="n">
        <v>41.9378664619778</v>
      </c>
      <c r="P82" s="93" t="n">
        <v>57.9141965427312</v>
      </c>
      <c r="Q82" s="93" t="n">
        <v>33.78487257792</v>
      </c>
      <c r="R82" s="93"/>
      <c r="S82" s="93" t="n">
        <f aca="false">S81</f>
        <v>50</v>
      </c>
      <c r="T82" s="93" t="n">
        <v>37.19</v>
      </c>
      <c r="U82" s="93"/>
      <c r="V82" s="93" t="n">
        <f aca="false">70%*P82+30%*O82</f>
        <v>53.1212975185052</v>
      </c>
      <c r="W82" s="93" t="n">
        <f aca="false">80%*P82+20%*O82</f>
        <v>54.7189305265805</v>
      </c>
      <c r="X82" s="93"/>
    </row>
    <row r="83" customFormat="false" ht="13.8" hidden="false" customHeight="false" outlineLevel="1" collapsed="false">
      <c r="A83" s="1"/>
      <c r="B83" s="1"/>
      <c r="C83" s="1"/>
      <c r="D83" s="1"/>
      <c r="E83" s="1"/>
      <c r="F83" s="1"/>
      <c r="G83" s="1"/>
      <c r="H83" s="61" t="n">
        <f aca="false">H82+1</f>
        <v>8</v>
      </c>
      <c r="I83" s="86" t="n">
        <f aca="false">I82+1</f>
        <v>2032</v>
      </c>
      <c r="J83" s="1"/>
      <c r="K83" s="1"/>
      <c r="L83" s="1"/>
      <c r="M83" s="15" t="s">
        <v>106</v>
      </c>
      <c r="N83" s="93" t="n">
        <f aca="false">N82</f>
        <v>0</v>
      </c>
      <c r="O83" s="93" t="n">
        <v>42.896446266823</v>
      </c>
      <c r="P83" s="93" t="n">
        <v>59.0724804735858</v>
      </c>
      <c r="Q83" s="93" t="n">
        <v>34.4605700294784</v>
      </c>
      <c r="R83" s="93"/>
      <c r="S83" s="93" t="n">
        <f aca="false">S82</f>
        <v>50</v>
      </c>
      <c r="T83" s="93" t="n">
        <v>36.54</v>
      </c>
      <c r="U83" s="93"/>
      <c r="V83" s="93" t="n">
        <f aca="false">70%*P83+30%*O83</f>
        <v>54.219670211557</v>
      </c>
      <c r="W83" s="93" t="n">
        <f aca="false">80%*P83+20%*O83</f>
        <v>55.8372736322332</v>
      </c>
      <c r="X83" s="93"/>
    </row>
    <row r="84" customFormat="false" ht="13.8" hidden="false" customHeight="false" outlineLevel="1" collapsed="false">
      <c r="A84" s="1"/>
      <c r="B84" s="1"/>
      <c r="C84" s="1"/>
      <c r="D84" s="1"/>
      <c r="E84" s="1"/>
      <c r="F84" s="1"/>
      <c r="G84" s="1"/>
      <c r="H84" s="61" t="n">
        <f aca="false">H83+1</f>
        <v>9</v>
      </c>
      <c r="I84" s="86" t="n">
        <f aca="false">I83+1</f>
        <v>2033</v>
      </c>
      <c r="J84" s="1"/>
      <c r="K84" s="1"/>
      <c r="L84" s="1"/>
      <c r="M84" s="15" t="s">
        <v>106</v>
      </c>
      <c r="N84" s="93" t="n">
        <f aca="false">N83</f>
        <v>0</v>
      </c>
      <c r="O84" s="93" t="n">
        <v>44.7321265931016</v>
      </c>
      <c r="P84" s="93" t="n">
        <v>61.4761193342352</v>
      </c>
      <c r="Q84" s="93" t="n">
        <v>35.149781430068</v>
      </c>
      <c r="R84" s="93"/>
      <c r="S84" s="93" t="n">
        <f aca="false">S83</f>
        <v>50</v>
      </c>
      <c r="T84" s="93" t="n">
        <v>36.3</v>
      </c>
      <c r="U84" s="93"/>
      <c r="V84" s="93" t="n">
        <f aca="false">70%*P84+30%*O84</f>
        <v>56.4529215118951</v>
      </c>
      <c r="W84" s="93" t="n">
        <f aca="false">80%*P84+20%*O84</f>
        <v>58.1273207860085</v>
      </c>
      <c r="X84" s="93"/>
    </row>
    <row r="85" customFormat="false" ht="13.8" hidden="false" customHeight="false" outlineLevel="1" collapsed="false">
      <c r="A85" s="1"/>
      <c r="B85" s="1"/>
      <c r="C85" s="1"/>
      <c r="D85" s="1"/>
      <c r="E85" s="1"/>
      <c r="F85" s="1"/>
      <c r="G85" s="1"/>
      <c r="H85" s="61" t="n">
        <f aca="false">H84+1</f>
        <v>10</v>
      </c>
      <c r="I85" s="86" t="n">
        <f aca="false">I84+1</f>
        <v>2034</v>
      </c>
      <c r="J85" s="1"/>
      <c r="K85" s="1"/>
      <c r="L85" s="1"/>
      <c r="M85" s="15" t="s">
        <v>106</v>
      </c>
      <c r="N85" s="93" t="n">
        <f aca="false">N84</f>
        <v>0</v>
      </c>
      <c r="O85" s="93" t="n">
        <v>46.4994122503044</v>
      </c>
      <c r="P85" s="93" t="n">
        <v>63.5782848462607</v>
      </c>
      <c r="Q85" s="93" t="n">
        <v>35.8527770586693</v>
      </c>
      <c r="R85" s="93"/>
      <c r="S85" s="93" t="n">
        <f aca="false">S84</f>
        <v>50</v>
      </c>
      <c r="T85" s="93" t="n">
        <v>37.67</v>
      </c>
      <c r="U85" s="93"/>
      <c r="V85" s="93" t="n">
        <f aca="false">70%*P85+30%*O85</f>
        <v>58.4546230674738</v>
      </c>
      <c r="W85" s="93" t="n">
        <f aca="false">80%*P85+20%*O85</f>
        <v>60.1625103270694</v>
      </c>
      <c r="X85" s="93"/>
    </row>
    <row r="86" customFormat="false" ht="13.8" hidden="false" customHeight="false" outlineLevel="1" collapsed="false">
      <c r="A86" s="1"/>
      <c r="B86" s="1"/>
      <c r="C86" s="1"/>
      <c r="D86" s="1"/>
      <c r="E86" s="1"/>
      <c r="F86" s="1"/>
      <c r="G86" s="1"/>
      <c r="H86" s="61" t="n">
        <f aca="false">H85+1</f>
        <v>11</v>
      </c>
      <c r="I86" s="86" t="n">
        <f aca="false">I85+1</f>
        <v>2035</v>
      </c>
      <c r="J86" s="1"/>
      <c r="K86" s="1"/>
      <c r="L86" s="1"/>
      <c r="M86" s="15" t="s">
        <v>106</v>
      </c>
      <c r="N86" s="93" t="n">
        <f aca="false">N85</f>
        <v>0</v>
      </c>
      <c r="O86" s="93" t="n">
        <v>47.556557065003</v>
      </c>
      <c r="P86" s="93" t="n">
        <v>63.8325979856458</v>
      </c>
      <c r="Q86" s="93" t="n">
        <v>36.5698325998427</v>
      </c>
      <c r="R86" s="93"/>
      <c r="S86" s="93" t="n">
        <f aca="false">S85</f>
        <v>50</v>
      </c>
      <c r="T86" s="93" t="n">
        <v>39.14</v>
      </c>
      <c r="U86" s="93"/>
      <c r="V86" s="93" t="n">
        <f aca="false">70%*P86+30%*O86</f>
        <v>58.949785709453</v>
      </c>
      <c r="W86" s="93" t="n">
        <f aca="false">80%*P86+20%*O86</f>
        <v>60.5773898015172</v>
      </c>
      <c r="X86" s="93"/>
    </row>
    <row r="87" customFormat="false" ht="13.8" hidden="false" customHeight="false" outlineLevel="1" collapsed="false">
      <c r="A87" s="1"/>
      <c r="B87" s="1"/>
      <c r="C87" s="1"/>
      <c r="D87" s="1"/>
      <c r="E87" s="1"/>
      <c r="F87" s="1"/>
      <c r="G87" s="1"/>
      <c r="H87" s="61" t="n">
        <f aca="false">H86+1</f>
        <v>12</v>
      </c>
      <c r="I87" s="86" t="n">
        <f aca="false">I86+1</f>
        <v>2036</v>
      </c>
      <c r="J87" s="1"/>
      <c r="K87" s="1"/>
      <c r="L87" s="1"/>
      <c r="M87" s="15" t="s">
        <v>106</v>
      </c>
      <c r="N87" s="93" t="n">
        <f aca="false">N86</f>
        <v>0</v>
      </c>
      <c r="O87" s="93" t="n">
        <v>53.1768774454125</v>
      </c>
      <c r="P87" s="93" t="n">
        <v>71.3348355975046</v>
      </c>
      <c r="Q87" s="93" t="n">
        <v>37.3012292518396</v>
      </c>
      <c r="R87" s="93"/>
      <c r="S87" s="93" t="n">
        <f aca="false">S86</f>
        <v>50</v>
      </c>
      <c r="T87" s="93" t="n">
        <v>41.68</v>
      </c>
      <c r="U87" s="93"/>
      <c r="V87" s="93" t="n">
        <f aca="false">70%*P87+30%*O87</f>
        <v>65.887448151877</v>
      </c>
      <c r="W87" s="93" t="n">
        <f aca="false">80%*P87+20%*O87</f>
        <v>67.7032439670862</v>
      </c>
      <c r="X87" s="93"/>
    </row>
    <row r="88" customFormat="false" ht="13.8" hidden="false" customHeight="false" outlineLevel="1" collapsed="false">
      <c r="A88" s="1"/>
      <c r="B88" s="1"/>
      <c r="C88" s="1"/>
      <c r="D88" s="1"/>
      <c r="E88" s="1"/>
      <c r="F88" s="1"/>
      <c r="G88" s="1"/>
      <c r="H88" s="61" t="n">
        <f aca="false">H87+1</f>
        <v>13</v>
      </c>
      <c r="I88" s="86" t="n">
        <f aca="false">I87+1</f>
        <v>2037</v>
      </c>
      <c r="J88" s="1"/>
      <c r="K88" s="1"/>
      <c r="L88" s="1"/>
      <c r="M88" s="15" t="s">
        <v>106</v>
      </c>
      <c r="N88" s="93" t="n">
        <f aca="false">N87</f>
        <v>0</v>
      </c>
      <c r="O88" s="93" t="n">
        <v>53.0497717383478</v>
      </c>
      <c r="P88" s="93" t="n">
        <v>68.9250151513198</v>
      </c>
      <c r="Q88" s="93" t="n">
        <v>38.0472538368764</v>
      </c>
      <c r="R88" s="93"/>
      <c r="S88" s="93" t="n">
        <f aca="false">S87</f>
        <v>50</v>
      </c>
      <c r="T88" s="93" t="n">
        <v>42.69</v>
      </c>
      <c r="U88" s="93"/>
      <c r="V88" s="93" t="n">
        <f aca="false">70%*P88+30%*O88</f>
        <v>64.1624421274282</v>
      </c>
      <c r="W88" s="93" t="n">
        <f aca="false">80%*P88+20%*O88</f>
        <v>65.7499664687254</v>
      </c>
      <c r="X88" s="93"/>
    </row>
    <row r="89" customFormat="false" ht="13.8" hidden="false" customHeight="false" outlineLevel="1" collapsed="false">
      <c r="A89" s="1"/>
      <c r="B89" s="1"/>
      <c r="C89" s="1"/>
      <c r="D89" s="1"/>
      <c r="E89" s="1"/>
      <c r="F89" s="1"/>
      <c r="G89" s="1"/>
      <c r="H89" s="61" t="n">
        <f aca="false">H88+1</f>
        <v>14</v>
      </c>
      <c r="I89" s="86" t="n">
        <f aca="false">I88+1</f>
        <v>2038</v>
      </c>
      <c r="J89" s="1"/>
      <c r="K89" s="1"/>
      <c r="L89" s="1"/>
      <c r="M89" s="15" t="s">
        <v>106</v>
      </c>
      <c r="N89" s="93" t="n">
        <f aca="false">N88</f>
        <v>0</v>
      </c>
      <c r="O89" s="93" t="n">
        <v>56.6746189843098</v>
      </c>
      <c r="P89" s="93" t="n">
        <v>71.3830320064283</v>
      </c>
      <c r="Q89" s="93" t="n">
        <v>38.8081989136139</v>
      </c>
      <c r="R89" s="93"/>
      <c r="S89" s="93" t="n">
        <f aca="false">S88</f>
        <v>50</v>
      </c>
      <c r="T89" s="93" t="n">
        <v>41.94</v>
      </c>
      <c r="U89" s="93"/>
      <c r="V89" s="93" t="n">
        <f aca="false">70%*P89+30%*O89</f>
        <v>66.9705080997927</v>
      </c>
      <c r="W89" s="93" t="n">
        <f aca="false">80%*P89+20%*O89</f>
        <v>68.4413494020046</v>
      </c>
      <c r="X89" s="93"/>
    </row>
    <row r="90" customFormat="false" ht="13.8" hidden="false" customHeight="false" outlineLevel="1" collapsed="false">
      <c r="A90" s="1"/>
      <c r="B90" s="1"/>
      <c r="C90" s="1"/>
      <c r="D90" s="1"/>
      <c r="E90" s="1"/>
      <c r="F90" s="1"/>
      <c r="G90" s="1"/>
      <c r="H90" s="61" t="n">
        <f aca="false">H89+1</f>
        <v>15</v>
      </c>
      <c r="I90" s="86" t="n">
        <f aca="false">I89+1</f>
        <v>2039</v>
      </c>
      <c r="J90" s="1"/>
      <c r="K90" s="1"/>
      <c r="L90" s="1"/>
      <c r="M90" s="15" t="s">
        <v>106</v>
      </c>
      <c r="N90" s="93" t="n">
        <f aca="false">N89</f>
        <v>0</v>
      </c>
      <c r="O90" s="93" t="n">
        <v>60.6985169321958</v>
      </c>
      <c r="P90" s="93" t="n">
        <v>75.2881831335852</v>
      </c>
      <c r="Q90" s="93" t="n">
        <v>39.5843628918862</v>
      </c>
      <c r="R90" s="93"/>
      <c r="S90" s="93" t="n">
        <f aca="false">S89</f>
        <v>50</v>
      </c>
      <c r="T90" s="93" t="n">
        <v>41.91</v>
      </c>
      <c r="U90" s="93"/>
      <c r="V90" s="93" t="n">
        <f aca="false">70%*P90+30%*O90</f>
        <v>70.9112832731684</v>
      </c>
      <c r="W90" s="93" t="n">
        <f aca="false">80%*P90+20%*O90</f>
        <v>72.3702498933073</v>
      </c>
      <c r="X90" s="93"/>
    </row>
    <row r="91" customFormat="false" ht="13.8" hidden="false" customHeight="false" outlineLevel="1" collapsed="false">
      <c r="A91" s="1"/>
      <c r="B91" s="1"/>
      <c r="C91" s="1"/>
      <c r="D91" s="1"/>
      <c r="E91" s="1"/>
      <c r="F91" s="1"/>
      <c r="G91" s="1"/>
      <c r="H91" s="61" t="n">
        <f aca="false">H90+1</f>
        <v>16</v>
      </c>
      <c r="I91" s="86" t="n">
        <f aca="false">I90+1</f>
        <v>2040</v>
      </c>
      <c r="J91" s="1"/>
      <c r="K91" s="1"/>
      <c r="L91" s="1"/>
      <c r="M91" s="15" t="s">
        <v>106</v>
      </c>
      <c r="N91" s="93" t="n">
        <f aca="false">N90</f>
        <v>0</v>
      </c>
      <c r="O91" s="93" t="n">
        <v>62.6144429088311</v>
      </c>
      <c r="P91" s="93" t="n">
        <v>74.6880798822828</v>
      </c>
      <c r="Q91" s="93" t="n">
        <v>40.3760501497239</v>
      </c>
      <c r="R91" s="93"/>
      <c r="S91" s="93" t="n">
        <f aca="false">S90</f>
        <v>50</v>
      </c>
      <c r="T91" s="93" t="n">
        <v>42.1</v>
      </c>
      <c r="U91" s="93"/>
      <c r="V91" s="93" t="n">
        <f aca="false">70%*P91+30%*O91</f>
        <v>71.0659887902473</v>
      </c>
      <c r="W91" s="93" t="n">
        <f aca="false">80%*P91+20%*O91</f>
        <v>72.2733524875925</v>
      </c>
      <c r="X91" s="93"/>
    </row>
    <row r="92" customFormat="false" ht="13.8" hidden="false" customHeight="false" outlineLevel="1" collapsed="false">
      <c r="A92" s="1"/>
      <c r="B92" s="1"/>
      <c r="C92" s="1"/>
      <c r="D92" s="1"/>
      <c r="E92" s="1"/>
      <c r="F92" s="1"/>
      <c r="G92" s="1"/>
      <c r="H92" s="61" t="n">
        <f aca="false">H91+1</f>
        <v>17</v>
      </c>
      <c r="I92" s="86" t="n">
        <f aca="false">I91+1</f>
        <v>2041</v>
      </c>
      <c r="J92" s="1"/>
      <c r="K92" s="1"/>
      <c r="L92" s="1"/>
      <c r="M92" s="15" t="s">
        <v>106</v>
      </c>
      <c r="N92" s="93" t="n">
        <f aca="false">N91</f>
        <v>0</v>
      </c>
      <c r="O92" s="93" t="n">
        <v>64.0099307171579</v>
      </c>
      <c r="P92" s="93" t="n">
        <v>76.6114383303792</v>
      </c>
      <c r="Q92" s="93" t="n">
        <v>41.1835711527184</v>
      </c>
      <c r="R92" s="93"/>
      <c r="S92" s="93" t="n">
        <f aca="false">S91</f>
        <v>50</v>
      </c>
      <c r="T92" s="93" t="n">
        <v>43.3</v>
      </c>
      <c r="U92" s="93"/>
      <c r="V92" s="93" t="n">
        <f aca="false">70%*P92+30%*O92</f>
        <v>72.8309860464128</v>
      </c>
      <c r="W92" s="93" t="n">
        <f aca="false">80%*P92+20%*O92</f>
        <v>74.0911368077349</v>
      </c>
      <c r="X92" s="93"/>
    </row>
    <row r="93" customFormat="false" ht="13.8" hidden="false" customHeight="false" outlineLevel="1" collapsed="false">
      <c r="A93" s="1"/>
      <c r="B93" s="1"/>
      <c r="C93" s="1"/>
      <c r="D93" s="1"/>
      <c r="E93" s="1"/>
      <c r="F93" s="1"/>
      <c r="G93" s="1"/>
      <c r="H93" s="61" t="n">
        <f aca="false">H92+1</f>
        <v>18</v>
      </c>
      <c r="I93" s="86" t="n">
        <f aca="false">I92+1</f>
        <v>2042</v>
      </c>
      <c r="J93" s="1"/>
      <c r="K93" s="1"/>
      <c r="L93" s="1"/>
      <c r="M93" s="15" t="s">
        <v>106</v>
      </c>
      <c r="N93" s="93" t="n">
        <f aca="false">N92</f>
        <v>0</v>
      </c>
      <c r="O93" s="93" t="n">
        <v>61.0543043860569</v>
      </c>
      <c r="P93" s="93" t="n">
        <v>73.4696533640829</v>
      </c>
      <c r="Q93" s="93" t="n">
        <v>42.0072425757727</v>
      </c>
      <c r="R93" s="93"/>
      <c r="S93" s="93" t="n">
        <f aca="false">S92</f>
        <v>50</v>
      </c>
      <c r="T93" s="93" t="n">
        <v>43.76</v>
      </c>
      <c r="U93" s="93"/>
      <c r="V93" s="93" t="n">
        <f aca="false">70%*P93+30%*O93</f>
        <v>69.7450486706751</v>
      </c>
      <c r="W93" s="93" t="n">
        <f aca="false">80%*P93+20%*O93</f>
        <v>70.9865835684777</v>
      </c>
      <c r="X93" s="93"/>
    </row>
    <row r="94" customFormat="false" ht="13.8" hidden="false" customHeight="false" outlineLevel="1" collapsed="false">
      <c r="A94" s="1"/>
      <c r="B94" s="1"/>
      <c r="C94" s="1"/>
      <c r="D94" s="1"/>
      <c r="E94" s="1"/>
      <c r="F94" s="1"/>
      <c r="G94" s="1"/>
      <c r="H94" s="61" t="n">
        <f aca="false">H93+1</f>
        <v>19</v>
      </c>
      <c r="I94" s="86" t="n">
        <f aca="false">I93+1</f>
        <v>2043</v>
      </c>
      <c r="J94" s="1"/>
      <c r="K94" s="1"/>
      <c r="L94" s="1"/>
      <c r="M94" s="15" t="s">
        <v>106</v>
      </c>
      <c r="N94" s="93" t="n">
        <f aca="false">N93</f>
        <v>0</v>
      </c>
      <c r="O94" s="93" t="n">
        <v>61.0835169718876</v>
      </c>
      <c r="P94" s="93" t="n">
        <v>72.4063152398473</v>
      </c>
      <c r="Q94" s="93" t="n">
        <v>42.8473874272882</v>
      </c>
      <c r="R94" s="93"/>
      <c r="S94" s="93" t="n">
        <f aca="false">S93</f>
        <v>50</v>
      </c>
      <c r="T94" s="93" t="n">
        <v>43.39</v>
      </c>
      <c r="U94" s="93"/>
      <c r="V94" s="93" t="n">
        <f aca="false">70%*P94+30%*O94</f>
        <v>69.0094757594594</v>
      </c>
      <c r="W94" s="93" t="n">
        <f aca="false">80%*P94+20%*O94</f>
        <v>70.1417555862554</v>
      </c>
      <c r="X94" s="93"/>
    </row>
    <row r="95" customFormat="false" ht="13.8" hidden="false" customHeight="false" outlineLevel="1" collapsed="false">
      <c r="A95" s="1"/>
      <c r="B95" s="1"/>
      <c r="C95" s="1"/>
      <c r="D95" s="1"/>
      <c r="E95" s="1"/>
      <c r="F95" s="1"/>
      <c r="G95" s="1"/>
      <c r="H95" s="61" t="n">
        <f aca="false">H94+1</f>
        <v>20</v>
      </c>
      <c r="I95" s="86" t="n">
        <f aca="false">I94+1</f>
        <v>2044</v>
      </c>
      <c r="J95" s="1"/>
      <c r="K95" s="1"/>
      <c r="L95" s="1"/>
      <c r="M95" s="15" t="s">
        <v>106</v>
      </c>
      <c r="N95" s="93" t="n">
        <f aca="false">N94</f>
        <v>0</v>
      </c>
      <c r="O95" s="93" t="n">
        <v>60.6335847249239</v>
      </c>
      <c r="P95" s="93" t="n">
        <v>72.4867667012249</v>
      </c>
      <c r="Q95" s="93" t="n">
        <v>43.704335175834</v>
      </c>
      <c r="R95" s="93"/>
      <c r="S95" s="93" t="n">
        <f aca="false">S94</f>
        <v>50</v>
      </c>
      <c r="T95" s="93" t="n">
        <v>42.75</v>
      </c>
      <c r="U95" s="93"/>
      <c r="V95" s="93" t="n">
        <f aca="false">70%*P95+30%*O95</f>
        <v>68.9308121083346</v>
      </c>
      <c r="W95" s="93" t="n">
        <f aca="false">80%*P95+20%*O95</f>
        <v>70.1161303059647</v>
      </c>
      <c r="X95" s="93"/>
    </row>
    <row r="96" customFormat="false" ht="13.8" hidden="false" customHeight="false" outlineLevel="1" collapsed="false">
      <c r="A96" s="1"/>
      <c r="B96" s="1"/>
      <c r="C96" s="1"/>
      <c r="D96" s="1"/>
      <c r="E96" s="1"/>
      <c r="F96" s="1"/>
      <c r="G96" s="1"/>
      <c r="H96" s="61" t="n">
        <f aca="false">H95+1</f>
        <v>21</v>
      </c>
      <c r="I96" s="86" t="n">
        <f aca="false">I95+1</f>
        <v>2045</v>
      </c>
      <c r="J96" s="1"/>
      <c r="K96" s="1"/>
      <c r="L96" s="1"/>
      <c r="M96" s="15" t="s">
        <v>106</v>
      </c>
      <c r="N96" s="93" t="n">
        <f aca="false">N95</f>
        <v>0</v>
      </c>
      <c r="O96" s="93" t="n">
        <v>62.4662690151058</v>
      </c>
      <c r="P96" s="93" t="n">
        <v>72.5414736949616</v>
      </c>
      <c r="Q96" s="93" t="n">
        <v>44.5784218793507</v>
      </c>
      <c r="R96" s="93"/>
      <c r="S96" s="93" t="n">
        <f aca="false">S95</f>
        <v>50</v>
      </c>
      <c r="T96" s="93" t="n">
        <v>41.05</v>
      </c>
      <c r="U96" s="93"/>
      <c r="V96" s="93" t="n">
        <f aca="false">70%*P96+30%*O96</f>
        <v>69.5189122910049</v>
      </c>
      <c r="W96" s="93" t="n">
        <f aca="false">80%*P96+20%*O96</f>
        <v>70.5264327589904</v>
      </c>
      <c r="X96" s="93"/>
    </row>
    <row r="97" customFormat="false" ht="13.8" hidden="false" customHeight="false" outlineLevel="1" collapsed="false">
      <c r="A97" s="1"/>
      <c r="B97" s="1"/>
      <c r="C97" s="1"/>
      <c r="D97" s="1"/>
      <c r="E97" s="1"/>
      <c r="F97" s="1"/>
      <c r="G97" s="1"/>
      <c r="H97" s="61" t="n">
        <f aca="false">H96+1</f>
        <v>22</v>
      </c>
      <c r="I97" s="86" t="n">
        <f aca="false">I96+1</f>
        <v>2046</v>
      </c>
      <c r="J97" s="1"/>
      <c r="K97" s="1"/>
      <c r="L97" s="1"/>
      <c r="M97" s="15" t="s">
        <v>106</v>
      </c>
      <c r="N97" s="93" t="n">
        <f aca="false">N96</f>
        <v>0</v>
      </c>
      <c r="O97" s="93" t="n">
        <v>63.8736976073072</v>
      </c>
      <c r="P97" s="93" t="n">
        <v>74.7828192283572</v>
      </c>
      <c r="Q97" s="93" t="n">
        <v>45.4699903169377</v>
      </c>
      <c r="R97" s="93"/>
      <c r="S97" s="93" t="n">
        <f aca="false">S96</f>
        <v>50</v>
      </c>
      <c r="T97" s="93" t="n">
        <v>41.06</v>
      </c>
      <c r="U97" s="93"/>
      <c r="V97" s="93" t="n">
        <f aca="false">70%*P97+30%*O97</f>
        <v>71.5100827420422</v>
      </c>
      <c r="W97" s="93" t="n">
        <f aca="false">80%*P97+20%*O97</f>
        <v>72.6009949041472</v>
      </c>
      <c r="X97" s="93"/>
    </row>
    <row r="98" customFormat="false" ht="13.8" hidden="false" customHeight="false" outlineLevel="1" collapsed="false">
      <c r="A98" s="1"/>
      <c r="B98" s="1"/>
      <c r="C98" s="1"/>
      <c r="D98" s="1"/>
      <c r="E98" s="1"/>
      <c r="F98" s="1"/>
      <c r="G98" s="1"/>
      <c r="H98" s="61" t="n">
        <f aca="false">H97+1</f>
        <v>23</v>
      </c>
      <c r="I98" s="86" t="n">
        <f aca="false">I97+1</f>
        <v>2047</v>
      </c>
      <c r="J98" s="1"/>
      <c r="K98" s="1"/>
      <c r="L98" s="1"/>
      <c r="M98" s="15" t="s">
        <v>106</v>
      </c>
      <c r="N98" s="93" t="n">
        <f aca="false">N97</f>
        <v>0</v>
      </c>
      <c r="O98" s="93" t="n">
        <v>65.7962326640024</v>
      </c>
      <c r="P98" s="93" t="n">
        <v>76.1172103367871</v>
      </c>
      <c r="Q98" s="93" t="n">
        <v>46.3793901232764</v>
      </c>
      <c r="R98" s="93"/>
      <c r="S98" s="93" t="n">
        <f aca="false">S97</f>
        <v>50</v>
      </c>
      <c r="T98" s="93" t="n">
        <v>40.6</v>
      </c>
      <c r="U98" s="93"/>
      <c r="V98" s="93" t="n">
        <f aca="false">70%*P98+30%*O98</f>
        <v>73.0209170349517</v>
      </c>
      <c r="W98" s="93" t="n">
        <f aca="false">80%*P98+20%*O98</f>
        <v>74.0530148022302</v>
      </c>
      <c r="X98" s="93"/>
    </row>
    <row r="99" customFormat="false" ht="13.8" hidden="false" customHeight="false" outlineLevel="1" collapsed="false">
      <c r="A99" s="1"/>
      <c r="B99" s="1"/>
      <c r="C99" s="1"/>
      <c r="D99" s="1"/>
      <c r="E99" s="1"/>
      <c r="F99" s="1"/>
      <c r="G99" s="1"/>
      <c r="H99" s="61" t="n">
        <f aca="false">H98+1</f>
        <v>24</v>
      </c>
      <c r="I99" s="86" t="n">
        <f aca="false">I98+1</f>
        <v>2048</v>
      </c>
      <c r="J99" s="1"/>
      <c r="K99" s="1"/>
      <c r="L99" s="1"/>
      <c r="M99" s="15" t="s">
        <v>106</v>
      </c>
      <c r="N99" s="93" t="n">
        <f aca="false">N98</f>
        <v>0</v>
      </c>
      <c r="O99" s="93" t="n">
        <v>66.4541949906425</v>
      </c>
      <c r="P99" s="93" t="n">
        <v>76.1591393085828</v>
      </c>
      <c r="Q99" s="93" t="n">
        <v>47.306977925742</v>
      </c>
      <c r="R99" s="93"/>
      <c r="S99" s="93" t="n">
        <f aca="false">S98</f>
        <v>50</v>
      </c>
      <c r="T99" s="93" t="n">
        <v>39.85</v>
      </c>
      <c r="U99" s="93"/>
      <c r="V99" s="93" t="n">
        <f aca="false">70%*P99+30%*O99</f>
        <v>73.2476560132007</v>
      </c>
      <c r="W99" s="93" t="n">
        <f aca="false">80%*P99+20%*O99</f>
        <v>74.2181504449948</v>
      </c>
      <c r="X99" s="93"/>
    </row>
    <row r="100" customFormat="false" ht="13.8" hidden="false" customHeight="false" outlineLevel="1" collapsed="false">
      <c r="A100" s="1"/>
      <c r="B100" s="1"/>
      <c r="C100" s="1"/>
      <c r="D100" s="1"/>
      <c r="E100" s="1"/>
      <c r="F100" s="1"/>
      <c r="G100" s="1"/>
      <c r="H100" s="61" t="n">
        <f aca="false">H99+1</f>
        <v>25</v>
      </c>
      <c r="I100" s="86" t="n">
        <f aca="false">I99+1</f>
        <v>2049</v>
      </c>
      <c r="J100" s="1"/>
      <c r="K100" s="1"/>
      <c r="L100" s="1"/>
      <c r="M100" s="15" t="s">
        <v>106</v>
      </c>
      <c r="N100" s="93" t="n">
        <f aca="false">N99</f>
        <v>0</v>
      </c>
      <c r="O100" s="93" t="n">
        <v>65.6021337776436</v>
      </c>
      <c r="P100" s="93" t="n">
        <v>76.3400789484088</v>
      </c>
      <c r="Q100" s="93" t="n">
        <v>48.2531174842568</v>
      </c>
      <c r="R100" s="93"/>
      <c r="S100" s="93" t="n">
        <f aca="false">S99</f>
        <v>50</v>
      </c>
      <c r="T100" s="93" t="n">
        <v>39.01</v>
      </c>
      <c r="U100" s="93"/>
      <c r="V100" s="93" t="n">
        <f aca="false">70%*P100+30%*O100</f>
        <v>73.1186953971792</v>
      </c>
      <c r="W100" s="93" t="n">
        <f aca="false">80%*P100+20%*O100</f>
        <v>74.1924899142558</v>
      </c>
      <c r="X100" s="93"/>
    </row>
    <row r="101" customFormat="false" ht="13.8" hidden="false" customHeight="false" outlineLevel="1" collapsed="false">
      <c r="A101" s="1"/>
      <c r="B101" s="1"/>
      <c r="C101" s="1"/>
      <c r="D101" s="1"/>
      <c r="E101" s="1"/>
      <c r="F101" s="1"/>
      <c r="G101" s="1"/>
      <c r="H101" s="61" t="n">
        <f aca="false">H100+1</f>
        <v>26</v>
      </c>
      <c r="I101" s="86" t="n">
        <f aca="false">I100+1</f>
        <v>2050</v>
      </c>
      <c r="J101" s="1"/>
      <c r="K101" s="1"/>
      <c r="L101" s="1"/>
      <c r="M101" s="15" t="s">
        <v>106</v>
      </c>
      <c r="N101" s="93" t="n">
        <f aca="false">N100</f>
        <v>0</v>
      </c>
      <c r="O101" s="93" t="n">
        <v>63.320320428856</v>
      </c>
      <c r="P101" s="93" t="n">
        <v>74.1018885018775</v>
      </c>
      <c r="Q101" s="93" t="n">
        <v>49.2181798339419</v>
      </c>
      <c r="R101" s="93"/>
      <c r="S101" s="93" t="n">
        <f aca="false">S100</f>
        <v>50</v>
      </c>
      <c r="T101" s="93" t="n">
        <v>36.54</v>
      </c>
      <c r="U101" s="93"/>
      <c r="V101" s="93" t="n">
        <f aca="false">70%*P101+30%*O101</f>
        <v>70.8674180799711</v>
      </c>
      <c r="W101" s="93" t="n">
        <f aca="false">80%*P101+20%*O101</f>
        <v>71.9455748872732</v>
      </c>
      <c r="X101" s="93"/>
    </row>
    <row r="102" customFormat="false" ht="13.8" hidden="false" customHeight="false" outlineLevel="1" collapsed="false">
      <c r="A102" s="1"/>
      <c r="B102" s="1"/>
      <c r="C102" s="1"/>
      <c r="D102" s="1"/>
      <c r="E102" s="1"/>
      <c r="F102" s="1"/>
      <c r="G102" s="1"/>
      <c r="H102" s="61" t="n">
        <f aca="false">H101+1</f>
        <v>27</v>
      </c>
      <c r="I102" s="86" t="n">
        <f aca="false">I101+1</f>
        <v>2051</v>
      </c>
      <c r="J102" s="1"/>
      <c r="K102" s="1"/>
      <c r="L102" s="1"/>
      <c r="M102" s="15" t="s">
        <v>106</v>
      </c>
      <c r="N102" s="93" t="n">
        <f aca="false">N101</f>
        <v>0</v>
      </c>
      <c r="O102" s="93" t="n">
        <v>65.9831966068912</v>
      </c>
      <c r="P102" s="93" t="n">
        <v>76.1076024354618</v>
      </c>
      <c r="Q102" s="93" t="n">
        <v>50.2025434306208</v>
      </c>
      <c r="R102" s="93"/>
      <c r="S102" s="93" t="n">
        <f aca="false">S101</f>
        <v>50</v>
      </c>
      <c r="T102" s="93" t="n">
        <v>37.28</v>
      </c>
      <c r="U102" s="93"/>
      <c r="V102" s="93" t="n">
        <f aca="false">70%*P102+30%*O102</f>
        <v>73.0702806868906</v>
      </c>
      <c r="W102" s="93" t="n">
        <f aca="false">80%*P102+20%*O102</f>
        <v>74.0827212697477</v>
      </c>
      <c r="X102" s="93"/>
    </row>
    <row r="103" customFormat="false" ht="13.8" hidden="false" customHeight="false" outlineLevel="1" collapsed="false">
      <c r="A103" s="1"/>
      <c r="B103" s="1"/>
      <c r="C103" s="1"/>
      <c r="D103" s="1"/>
      <c r="E103" s="1"/>
      <c r="F103" s="1"/>
      <c r="G103" s="1"/>
      <c r="H103" s="61" t="n">
        <f aca="false">H102+1</f>
        <v>28</v>
      </c>
      <c r="I103" s="86" t="n">
        <f aca="false">I102+1</f>
        <v>2052</v>
      </c>
      <c r="J103" s="1"/>
      <c r="K103" s="1"/>
      <c r="L103" s="1"/>
      <c r="M103" s="15" t="s">
        <v>106</v>
      </c>
      <c r="N103" s="93" t="n">
        <f aca="false">N102</f>
        <v>0</v>
      </c>
      <c r="O103" s="93" t="n">
        <v>67.302860539029</v>
      </c>
      <c r="P103" s="93" t="n">
        <v>77.2736546929592</v>
      </c>
      <c r="Q103" s="93" t="n">
        <v>51.2065942992332</v>
      </c>
      <c r="R103" s="93"/>
      <c r="S103" s="93" t="n">
        <f aca="false">S102</f>
        <v>50</v>
      </c>
      <c r="T103" s="93" t="n">
        <v>37.06</v>
      </c>
      <c r="U103" s="93"/>
      <c r="V103" s="93" t="n">
        <f aca="false">70%*P103+30%*O103</f>
        <v>74.2824164467801</v>
      </c>
      <c r="W103" s="93" t="n">
        <f aca="false">80%*P103+20%*O103</f>
        <v>75.2794958621732</v>
      </c>
      <c r="X103" s="93"/>
    </row>
    <row r="104" customFormat="false" ht="13.8" hidden="false" customHeight="false" outlineLevel="1" collapsed="false">
      <c r="A104" s="1"/>
      <c r="B104" s="1"/>
      <c r="C104" s="1"/>
      <c r="D104" s="1"/>
      <c r="E104" s="1"/>
      <c r="F104" s="1"/>
      <c r="G104" s="1"/>
      <c r="H104" s="61" t="n">
        <f aca="false">H103+1</f>
        <v>29</v>
      </c>
      <c r="I104" s="86" t="n">
        <f aca="false">I103+1</f>
        <v>2053</v>
      </c>
      <c r="J104" s="1"/>
      <c r="K104" s="1"/>
      <c r="L104" s="1"/>
      <c r="M104" s="15" t="s">
        <v>106</v>
      </c>
      <c r="N104" s="93" t="n">
        <f aca="false">N103</f>
        <v>0</v>
      </c>
      <c r="O104" s="93" t="n">
        <v>67.7408632822195</v>
      </c>
      <c r="P104" s="93" t="n">
        <v>77.0030188516382</v>
      </c>
      <c r="Q104" s="93" t="n">
        <v>52.2307261852178</v>
      </c>
      <c r="R104" s="93"/>
      <c r="S104" s="93" t="n">
        <f aca="false">S103</f>
        <v>50</v>
      </c>
      <c r="T104" s="93" t="n">
        <v>36.3</v>
      </c>
      <c r="U104" s="93"/>
      <c r="V104" s="93" t="n">
        <f aca="false">70%*P104+30%*O104</f>
        <v>74.2243721808126</v>
      </c>
      <c r="W104" s="93" t="n">
        <f aca="false">80%*P104+20%*O104</f>
        <v>75.1505877377545</v>
      </c>
      <c r="X104" s="93"/>
    </row>
    <row r="105" customFormat="false" ht="13.8" hidden="false" customHeight="false" outlineLevel="1" collapsed="false">
      <c r="A105" s="1"/>
      <c r="B105" s="1"/>
      <c r="C105" s="1"/>
      <c r="D105" s="1"/>
      <c r="E105" s="1"/>
      <c r="F105" s="1"/>
      <c r="G105" s="1"/>
      <c r="H105" s="61" t="n">
        <f aca="false">H104+1</f>
        <v>30</v>
      </c>
      <c r="I105" s="86" t="n">
        <f aca="false">I104+1</f>
        <v>2054</v>
      </c>
      <c r="J105" s="1"/>
      <c r="K105" s="1"/>
      <c r="L105" s="1"/>
      <c r="M105" s="15" t="s">
        <v>106</v>
      </c>
      <c r="N105" s="93" t="n">
        <f aca="false">N104</f>
        <v>0</v>
      </c>
      <c r="O105" s="93" t="n">
        <v>69.8366529934174</v>
      </c>
      <c r="P105" s="93" t="n">
        <v>79.4692947856129</v>
      </c>
      <c r="Q105" s="93" t="n">
        <v>53.2753407089222</v>
      </c>
      <c r="R105" s="93"/>
      <c r="S105" s="93" t="n">
        <f aca="false">S104</f>
        <v>50</v>
      </c>
      <c r="T105" s="93" t="n">
        <v>37.75</v>
      </c>
      <c r="U105" s="93"/>
      <c r="V105" s="93" t="n">
        <f aca="false">70%*P105+30%*O105</f>
        <v>76.5795022479543</v>
      </c>
      <c r="W105" s="93" t="n">
        <f aca="false">80%*P105+20%*O105</f>
        <v>77.5427664271738</v>
      </c>
      <c r="X105" s="93"/>
    </row>
    <row r="106" customFormat="false" ht="13.8" hidden="false" customHeight="false" outlineLevel="1" collapsed="false">
      <c r="A106" s="1"/>
      <c r="B106" s="1"/>
      <c r="C106" s="1"/>
      <c r="D106" s="1"/>
      <c r="E106" s="1"/>
      <c r="F106" s="1"/>
      <c r="G106" s="1"/>
      <c r="H106" s="61" t="n">
        <f aca="false">H105+1</f>
        <v>31</v>
      </c>
      <c r="I106" s="86" t="n">
        <f aca="false">I105+1</f>
        <v>2055</v>
      </c>
      <c r="J106" s="1"/>
      <c r="K106" s="1"/>
      <c r="L106" s="1"/>
      <c r="M106" s="15" t="s">
        <v>106</v>
      </c>
      <c r="N106" s="93" t="n">
        <f aca="false">N105</f>
        <v>0</v>
      </c>
      <c r="O106" s="93" t="n">
        <v>69.9107502379727</v>
      </c>
      <c r="P106" s="93" t="n">
        <v>80.869732707709</v>
      </c>
      <c r="Q106" s="93" t="n">
        <v>54.3408475231006</v>
      </c>
      <c r="R106" s="93"/>
      <c r="S106" s="93" t="n">
        <f aca="false">S105</f>
        <v>50</v>
      </c>
      <c r="T106" s="93" t="n">
        <v>37.5</v>
      </c>
      <c r="U106" s="93"/>
      <c r="V106" s="93" t="n">
        <f aca="false">70%*P106+30%*O106</f>
        <v>77.5820379667881</v>
      </c>
      <c r="W106" s="93" t="n">
        <f aca="false">80%*P106+20%*O106</f>
        <v>78.6779362137618</v>
      </c>
      <c r="X106" s="93"/>
    </row>
    <row r="107" customFormat="false" ht="13.8" hidden="false" customHeight="false" outlineLevel="1" collapsed="false">
      <c r="A107" s="1"/>
      <c r="B107" s="1"/>
      <c r="C107" s="1"/>
      <c r="D107" s="1"/>
      <c r="E107" s="1"/>
      <c r="F107" s="1"/>
      <c r="G107" s="1"/>
      <c r="H107" s="61" t="n">
        <f aca="false">H106+1</f>
        <v>32</v>
      </c>
      <c r="I107" s="86" t="n">
        <f aca="false">I106+1</f>
        <v>2056</v>
      </c>
      <c r="J107" s="1"/>
      <c r="K107" s="1"/>
      <c r="L107" s="1"/>
      <c r="M107" s="15" t="s">
        <v>106</v>
      </c>
      <c r="N107" s="93" t="n">
        <f aca="false">N106</f>
        <v>0</v>
      </c>
      <c r="O107" s="93" t="n">
        <v>70.3453305772899</v>
      </c>
      <c r="P107" s="93" t="n">
        <v>83.2580350942171</v>
      </c>
      <c r="Q107" s="93" t="n">
        <v>55.4276644735627</v>
      </c>
      <c r="R107" s="93"/>
      <c r="S107" s="93" t="n">
        <f aca="false">S106</f>
        <v>50</v>
      </c>
      <c r="T107" s="93" t="n">
        <v>36.44</v>
      </c>
      <c r="U107" s="93"/>
      <c r="V107" s="93" t="n">
        <f aca="false">70%*P107+30%*O107</f>
        <v>79.3842237391389</v>
      </c>
      <c r="W107" s="93" t="n">
        <f aca="false">80%*P107+20%*O107</f>
        <v>80.6754941908317</v>
      </c>
      <c r="X107" s="93"/>
    </row>
    <row r="108" customFormat="false" ht="13.8" hidden="false" customHeight="false" outlineLevel="1" collapsed="false">
      <c r="A108" s="1"/>
      <c r="B108" s="1"/>
      <c r="C108" s="1"/>
      <c r="D108" s="1"/>
      <c r="E108" s="1"/>
      <c r="F108" s="1"/>
      <c r="G108" s="1"/>
      <c r="H108" s="61" t="n">
        <f aca="false">H107+1</f>
        <v>33</v>
      </c>
      <c r="I108" s="86" t="n">
        <f aca="false">I107+1</f>
        <v>2057</v>
      </c>
      <c r="J108" s="1"/>
      <c r="K108" s="1"/>
      <c r="L108" s="1"/>
      <c r="M108" s="15" t="s">
        <v>106</v>
      </c>
      <c r="N108" s="93" t="n">
        <f aca="false">N107</f>
        <v>0</v>
      </c>
      <c r="O108" s="93" t="n">
        <v>71.7522371888357</v>
      </c>
      <c r="P108" s="93" t="n">
        <v>84.7266143243512</v>
      </c>
      <c r="Q108" s="93" t="n">
        <v>56.5362177630339</v>
      </c>
      <c r="R108" s="93"/>
      <c r="S108" s="93" t="n">
        <f aca="false">S107</f>
        <v>50</v>
      </c>
      <c r="T108" s="93" t="n">
        <v>35.92</v>
      </c>
      <c r="U108" s="93"/>
      <c r="V108" s="93" t="n">
        <f aca="false">70%*P108+30%*O108</f>
        <v>80.8343011836965</v>
      </c>
      <c r="W108" s="93" t="n">
        <f aca="false">80%*P108+20%*O108</f>
        <v>82.1317388972481</v>
      </c>
      <c r="X108" s="93"/>
    </row>
    <row r="109" customFormat="false" ht="13.8" hidden="false" customHeight="false" outlineLevel="1" collapsed="false">
      <c r="A109" s="1"/>
      <c r="B109" s="1"/>
      <c r="C109" s="1"/>
      <c r="D109" s="1"/>
      <c r="E109" s="1"/>
      <c r="F109" s="1"/>
      <c r="G109" s="1"/>
      <c r="H109" s="61" t="n">
        <f aca="false">H108+1</f>
        <v>34</v>
      </c>
      <c r="I109" s="86" t="n">
        <f aca="false">I108+1</f>
        <v>2058</v>
      </c>
      <c r="J109" s="1"/>
      <c r="K109" s="1"/>
      <c r="L109" s="1"/>
      <c r="M109" s="15" t="s">
        <v>106</v>
      </c>
      <c r="N109" s="93" t="n">
        <f aca="false">N108</f>
        <v>0</v>
      </c>
      <c r="O109" s="93" t="n">
        <v>71.7836902243157</v>
      </c>
      <c r="P109" s="93" t="n">
        <v>84.8170418013563</v>
      </c>
      <c r="Q109" s="93" t="n">
        <v>57.6669421182946</v>
      </c>
      <c r="R109" s="93"/>
      <c r="S109" s="93" t="n">
        <f aca="false">S108</f>
        <v>50</v>
      </c>
      <c r="T109" s="93" t="n">
        <v>34.14</v>
      </c>
      <c r="U109" s="93"/>
      <c r="V109" s="93" t="n">
        <f aca="false">70%*P109+30%*O109</f>
        <v>80.9070363282441</v>
      </c>
      <c r="W109" s="93" t="n">
        <f aca="false">80%*P109+20%*O109</f>
        <v>82.2103714859482</v>
      </c>
      <c r="X109" s="93"/>
    </row>
    <row r="110" customFormat="false" ht="13.8" hidden="false" customHeight="false" outlineLevel="1" collapsed="false">
      <c r="A110" s="1"/>
      <c r="B110" s="1"/>
      <c r="C110" s="1"/>
      <c r="D110" s="1"/>
      <c r="E110" s="1"/>
      <c r="F110" s="1"/>
      <c r="G110" s="1"/>
      <c r="H110" s="61" t="n">
        <f aca="false">H109+1</f>
        <v>35</v>
      </c>
      <c r="I110" s="86" t="n">
        <f aca="false">I109+1</f>
        <v>2059</v>
      </c>
      <c r="J110" s="1"/>
      <c r="K110" s="1"/>
      <c r="L110" s="1"/>
      <c r="M110" s="15" t="s">
        <v>106</v>
      </c>
      <c r="N110" s="93" t="n">
        <f aca="false">N109</f>
        <v>0</v>
      </c>
      <c r="O110" s="93" t="n">
        <v>70.7650836702947</v>
      </c>
      <c r="P110" s="93" t="n">
        <v>85.8998125477566</v>
      </c>
      <c r="Q110" s="93" t="n">
        <v>58.8202809606605</v>
      </c>
      <c r="R110" s="93"/>
      <c r="S110" s="93" t="n">
        <f aca="false">S109</f>
        <v>50</v>
      </c>
      <c r="T110" s="93" t="n">
        <v>33.74</v>
      </c>
      <c r="U110" s="93"/>
      <c r="V110" s="93" t="n">
        <f aca="false">70%*P110+30%*O110</f>
        <v>81.359393884518</v>
      </c>
      <c r="W110" s="93" t="n">
        <f aca="false">80%*P110+20%*O110</f>
        <v>82.8728667722642</v>
      </c>
      <c r="X110" s="93"/>
    </row>
    <row r="111" customFormat="false" ht="13.8" hidden="false" customHeight="false" outlineLevel="1" collapsed="false">
      <c r="A111" s="1"/>
      <c r="B111" s="1"/>
      <c r="C111" s="1"/>
      <c r="D111" s="1"/>
      <c r="E111" s="1"/>
      <c r="F111" s="1"/>
      <c r="G111" s="1"/>
      <c r="H111" s="61" t="n">
        <f aca="false">H110+1</f>
        <v>36</v>
      </c>
      <c r="I111" s="86" t="n">
        <f aca="false">I110+1</f>
        <v>2060</v>
      </c>
      <c r="J111" s="1"/>
      <c r="K111" s="1"/>
      <c r="L111" s="1"/>
      <c r="M111" s="15" t="s">
        <v>106</v>
      </c>
      <c r="N111" s="93" t="n">
        <f aca="false">N110</f>
        <v>0</v>
      </c>
      <c r="O111" s="93" t="n">
        <v>68.6339502256575</v>
      </c>
      <c r="P111" s="93" t="n">
        <v>87.4091949682386</v>
      </c>
      <c r="Q111" s="93" t="n">
        <v>59.9966865798737</v>
      </c>
      <c r="R111" s="93"/>
      <c r="S111" s="93" t="n">
        <f aca="false">S110</f>
        <v>50</v>
      </c>
      <c r="T111" s="93" t="n">
        <v>33.39</v>
      </c>
      <c r="U111" s="93"/>
      <c r="V111" s="93" t="n">
        <f aca="false">70%*P111+30%*O111</f>
        <v>81.7766215454643</v>
      </c>
      <c r="W111" s="93" t="n">
        <f aca="false">80%*P111+20%*O111</f>
        <v>83.6541460197224</v>
      </c>
      <c r="X111" s="93"/>
    </row>
    <row r="112" customFormat="false" ht="13.8" hidden="false" customHeight="false" outlineLevel="1" collapsed="false">
      <c r="A112" s="1"/>
      <c r="B112" s="1"/>
      <c r="C112" s="1"/>
      <c r="D112" s="1"/>
      <c r="E112" s="1"/>
      <c r="F112" s="1"/>
      <c r="G112" s="1"/>
      <c r="H112" s="61" t="n">
        <f aca="false">H111+1</f>
        <v>37</v>
      </c>
      <c r="I112" s="86" t="n">
        <f aca="false">I111+1</f>
        <v>2061</v>
      </c>
      <c r="J112" s="1"/>
      <c r="K112" s="1"/>
      <c r="L112" s="1"/>
      <c r="M112" s="15" t="s">
        <v>106</v>
      </c>
      <c r="N112" s="93" t="n">
        <f aca="false">N111</f>
        <v>0</v>
      </c>
      <c r="O112" s="93" t="n">
        <v>68.6339502256575</v>
      </c>
      <c r="P112" s="93" t="n">
        <v>87.4091949682386</v>
      </c>
      <c r="Q112" s="93" t="n">
        <v>61.1966203114712</v>
      </c>
      <c r="R112" s="93"/>
      <c r="S112" s="93" t="n">
        <f aca="false">S111</f>
        <v>50</v>
      </c>
      <c r="T112" s="93" t="n">
        <v>32.9</v>
      </c>
      <c r="U112" s="93"/>
      <c r="V112" s="93" t="n">
        <f aca="false">70%*P112+30%*O112</f>
        <v>81.7766215454643</v>
      </c>
      <c r="W112" s="93" t="n">
        <f aca="false">80%*P112+20%*O112</f>
        <v>83.6541460197224</v>
      </c>
      <c r="X112" s="93"/>
    </row>
    <row r="113" customFormat="false" ht="13.8" hidden="false" customHeight="false" outlineLevel="1" collapsed="false">
      <c r="A113" s="1"/>
      <c r="B113" s="1"/>
      <c r="C113" s="1"/>
      <c r="D113" s="1"/>
      <c r="E113" s="1"/>
      <c r="F113" s="1"/>
      <c r="G113" s="1"/>
      <c r="H113" s="61" t="n">
        <f aca="false">H112+1</f>
        <v>38</v>
      </c>
      <c r="I113" s="86" t="n">
        <f aca="false">I112+1</f>
        <v>2062</v>
      </c>
      <c r="J113" s="1"/>
      <c r="K113" s="1"/>
      <c r="L113" s="1"/>
      <c r="M113" s="15" t="s">
        <v>106</v>
      </c>
      <c r="N113" s="93" t="n">
        <f aca="false">N112</f>
        <v>0</v>
      </c>
      <c r="O113" s="93" t="n">
        <v>68.6339502256575</v>
      </c>
      <c r="P113" s="93" t="n">
        <v>87.4091949682386</v>
      </c>
      <c r="Q113" s="93" t="n">
        <v>62.4205527177006</v>
      </c>
      <c r="R113" s="93"/>
      <c r="S113" s="93" t="n">
        <f aca="false">S112</f>
        <v>50</v>
      </c>
      <c r="T113" s="93" t="n">
        <v>32.9</v>
      </c>
      <c r="U113" s="93"/>
      <c r="V113" s="93" t="n">
        <f aca="false">70%*P113+30%*O113</f>
        <v>81.7766215454643</v>
      </c>
      <c r="W113" s="93" t="n">
        <f aca="false">80%*P113+20%*O113</f>
        <v>83.6541460197224</v>
      </c>
      <c r="X113" s="93"/>
    </row>
    <row r="114" customFormat="false" ht="13.8" hidden="false" customHeight="false" outlineLevel="1" collapsed="false">
      <c r="A114" s="1"/>
      <c r="B114" s="1"/>
      <c r="C114" s="1"/>
      <c r="D114" s="1"/>
      <c r="E114" s="1"/>
      <c r="F114" s="1"/>
      <c r="G114" s="1"/>
      <c r="H114" s="61" t="n">
        <f aca="false">H113+1</f>
        <v>39</v>
      </c>
      <c r="I114" s="86" t="n">
        <f aca="false">I113+1</f>
        <v>2063</v>
      </c>
      <c r="J114" s="1"/>
      <c r="K114" s="1"/>
      <c r="L114" s="1"/>
      <c r="M114" s="15" t="s">
        <v>106</v>
      </c>
      <c r="N114" s="93" t="n">
        <f aca="false">N113</f>
        <v>0</v>
      </c>
      <c r="O114" s="93" t="n">
        <v>68.6339502256575</v>
      </c>
      <c r="P114" s="93" t="n">
        <v>87.4091949682386</v>
      </c>
      <c r="Q114" s="93" t="n">
        <v>63.6689637720546</v>
      </c>
      <c r="R114" s="93"/>
      <c r="S114" s="93" t="n">
        <f aca="false">S113</f>
        <v>50</v>
      </c>
      <c r="T114" s="93" t="n">
        <v>32.9</v>
      </c>
      <c r="U114" s="93"/>
      <c r="V114" s="93" t="n">
        <f aca="false">70%*P114+30%*O114</f>
        <v>81.7766215454643</v>
      </c>
      <c r="W114" s="93" t="n">
        <f aca="false">80%*P114+20%*O114</f>
        <v>83.6541460197224</v>
      </c>
      <c r="X114" s="93"/>
    </row>
    <row r="115" customFormat="false" ht="13.8" hidden="false" customHeight="false" outlineLevel="1" collapsed="false">
      <c r="A115" s="1"/>
      <c r="B115" s="1"/>
      <c r="C115" s="1"/>
      <c r="D115" s="1"/>
      <c r="E115" s="1"/>
      <c r="F115" s="1"/>
      <c r="G115" s="1"/>
      <c r="H115" s="61" t="n">
        <f aca="false">H114+1</f>
        <v>40</v>
      </c>
      <c r="I115" s="86" t="n">
        <f aca="false">I114+1</f>
        <v>2064</v>
      </c>
      <c r="J115" s="1"/>
      <c r="K115" s="1"/>
      <c r="L115" s="1"/>
      <c r="M115" s="15" t="s">
        <v>106</v>
      </c>
      <c r="N115" s="93" t="n">
        <f aca="false">N114</f>
        <v>0</v>
      </c>
      <c r="O115" s="93" t="n">
        <v>68.6339502256575</v>
      </c>
      <c r="P115" s="93" t="n">
        <v>87.4091949682386</v>
      </c>
      <c r="Q115" s="93" t="n">
        <v>64.9423430474957</v>
      </c>
      <c r="R115" s="93"/>
      <c r="S115" s="93" t="n">
        <f aca="false">S114</f>
        <v>50</v>
      </c>
      <c r="T115" s="93" t="n">
        <v>32.9</v>
      </c>
      <c r="U115" s="93"/>
      <c r="V115" s="93" t="n">
        <f aca="false">70%*P115+30%*O115</f>
        <v>81.7766215454643</v>
      </c>
      <c r="W115" s="93" t="n">
        <f aca="false">80%*P115+20%*O115</f>
        <v>83.6541460197224</v>
      </c>
      <c r="X115" s="93"/>
    </row>
    <row r="116" customFormat="false" ht="13.8" hidden="false" customHeight="false" outlineLevel="1" collapsed="false">
      <c r="A116" s="1"/>
      <c r="B116" s="1"/>
      <c r="C116" s="1"/>
      <c r="D116" s="1"/>
      <c r="E116" s="1"/>
      <c r="F116" s="1"/>
      <c r="G116" s="1"/>
      <c r="H116" s="61" t="n">
        <f aca="false">H115+1</f>
        <v>41</v>
      </c>
      <c r="I116" s="86" t="n">
        <f aca="false">I115+1</f>
        <v>2065</v>
      </c>
      <c r="J116" s="1"/>
      <c r="K116" s="1"/>
      <c r="L116" s="1"/>
      <c r="M116" s="15" t="s">
        <v>106</v>
      </c>
      <c r="N116" s="93" t="n">
        <f aca="false">N115</f>
        <v>0</v>
      </c>
      <c r="O116" s="93" t="n">
        <v>68.6339502256575</v>
      </c>
      <c r="P116" s="93" t="n">
        <v>87.4091949682386</v>
      </c>
      <c r="Q116" s="93" t="n">
        <f aca="false">Q115</f>
        <v>64.9423430474957</v>
      </c>
      <c r="R116" s="93"/>
      <c r="S116" s="93" t="n">
        <f aca="false">S115</f>
        <v>50</v>
      </c>
      <c r="T116" s="93" t="n">
        <v>32.9</v>
      </c>
      <c r="U116" s="93"/>
      <c r="V116" s="93" t="n">
        <f aca="false">70%*P116+30%*O116</f>
        <v>81.7766215454643</v>
      </c>
      <c r="W116" s="93" t="n">
        <f aca="false">80%*P116+20%*O116</f>
        <v>83.6541460197224</v>
      </c>
      <c r="X116" s="93"/>
    </row>
    <row r="117" customFormat="false" ht="13.8" hidden="false" customHeight="false" outlineLevel="1" collapsed="false">
      <c r="A117" s="1"/>
      <c r="B117" s="1"/>
      <c r="C117" s="1"/>
      <c r="D117" s="1"/>
      <c r="E117" s="1"/>
      <c r="F117" s="1"/>
      <c r="G117" s="1"/>
      <c r="H117" s="61" t="n">
        <f aca="false">H116+1</f>
        <v>42</v>
      </c>
      <c r="I117" s="86" t="n">
        <f aca="false">I116+1</f>
        <v>2066</v>
      </c>
      <c r="J117" s="1"/>
      <c r="K117" s="1"/>
      <c r="L117" s="1"/>
      <c r="M117" s="15" t="s">
        <v>106</v>
      </c>
      <c r="N117" s="93" t="n">
        <f aca="false">N116</f>
        <v>0</v>
      </c>
      <c r="O117" s="93" t="n">
        <v>68.6339502256575</v>
      </c>
      <c r="P117" s="93" t="n">
        <v>87.4091949682386</v>
      </c>
      <c r="Q117" s="93" t="n">
        <f aca="false">Q116</f>
        <v>64.9423430474957</v>
      </c>
      <c r="R117" s="93"/>
      <c r="S117" s="93" t="n">
        <f aca="false">S116</f>
        <v>50</v>
      </c>
      <c r="T117" s="93" t="n">
        <v>32.9</v>
      </c>
      <c r="U117" s="93"/>
      <c r="V117" s="93" t="n">
        <f aca="false">70%*P117+30%*O117</f>
        <v>81.7766215454643</v>
      </c>
      <c r="W117" s="93" t="n">
        <f aca="false">80%*P117+20%*O117</f>
        <v>83.6541460197224</v>
      </c>
      <c r="X117" s="93"/>
    </row>
    <row r="118" customFormat="false" ht="13.8" hidden="false" customHeight="false" outlineLevel="1" collapsed="false">
      <c r="A118" s="1"/>
      <c r="B118" s="1"/>
      <c r="C118" s="1"/>
      <c r="D118" s="1"/>
      <c r="E118" s="1"/>
      <c r="F118" s="1"/>
      <c r="G118" s="1"/>
      <c r="H118" s="61" t="n">
        <f aca="false">H117+1</f>
        <v>43</v>
      </c>
      <c r="I118" s="86" t="n">
        <f aca="false">I117+1</f>
        <v>2067</v>
      </c>
      <c r="J118" s="1"/>
      <c r="K118" s="1"/>
      <c r="L118" s="1"/>
      <c r="M118" s="15" t="s">
        <v>106</v>
      </c>
      <c r="N118" s="93" t="n">
        <f aca="false">N117</f>
        <v>0</v>
      </c>
      <c r="O118" s="93" t="n">
        <v>68.6339502256575</v>
      </c>
      <c r="P118" s="93" t="n">
        <v>87.4091949682386</v>
      </c>
      <c r="Q118" s="93" t="n">
        <f aca="false">Q117</f>
        <v>64.9423430474957</v>
      </c>
      <c r="R118" s="93"/>
      <c r="S118" s="93" t="n">
        <f aca="false">S117</f>
        <v>50</v>
      </c>
      <c r="T118" s="93" t="n">
        <v>32.9</v>
      </c>
      <c r="U118" s="93"/>
      <c r="V118" s="93" t="n">
        <f aca="false">70%*P118+30%*O118</f>
        <v>81.7766215454643</v>
      </c>
      <c r="W118" s="93" t="n">
        <f aca="false">80%*P118+20%*O118</f>
        <v>83.6541460197224</v>
      </c>
      <c r="X118" s="93"/>
    </row>
    <row r="119" customFormat="false" ht="13.8" hidden="false" customHeight="false" outlineLevel="1" collapsed="false">
      <c r="A119" s="1"/>
      <c r="B119" s="1"/>
      <c r="C119" s="1"/>
      <c r="D119" s="1"/>
      <c r="E119" s="1"/>
      <c r="F119" s="1"/>
      <c r="G119" s="1"/>
      <c r="H119" s="61" t="n">
        <f aca="false">H118+1</f>
        <v>44</v>
      </c>
      <c r="I119" s="86" t="n">
        <f aca="false">I118+1</f>
        <v>2068</v>
      </c>
      <c r="J119" s="1"/>
      <c r="K119" s="1"/>
      <c r="L119" s="1"/>
      <c r="M119" s="15" t="s">
        <v>106</v>
      </c>
      <c r="N119" s="93" t="n">
        <f aca="false">N118</f>
        <v>0</v>
      </c>
      <c r="O119" s="93" t="n">
        <v>68.6339502256575</v>
      </c>
      <c r="P119" s="93" t="n">
        <v>87.4091949682386</v>
      </c>
      <c r="Q119" s="93" t="n">
        <f aca="false">Q118</f>
        <v>64.9423430474957</v>
      </c>
      <c r="R119" s="93"/>
      <c r="S119" s="93" t="n">
        <f aca="false">S118</f>
        <v>50</v>
      </c>
      <c r="T119" s="93" t="n">
        <v>32.9</v>
      </c>
      <c r="U119" s="93"/>
      <c r="V119" s="93" t="n">
        <f aca="false">70%*P119+30%*O119</f>
        <v>81.7766215454643</v>
      </c>
      <c r="W119" s="93" t="n">
        <f aca="false">80%*P119+20%*O119</f>
        <v>83.6541460197224</v>
      </c>
      <c r="X119" s="93"/>
    </row>
    <row r="120" customFormat="false" ht="13.8" hidden="false" customHeight="false" outlineLevel="1" collapsed="false">
      <c r="A120" s="1"/>
      <c r="B120" s="1"/>
      <c r="C120" s="1"/>
      <c r="D120" s="1"/>
      <c r="E120" s="1"/>
      <c r="F120" s="1"/>
      <c r="G120" s="1"/>
      <c r="H120" s="61" t="n">
        <f aca="false">H119+1</f>
        <v>45</v>
      </c>
      <c r="I120" s="86" t="n">
        <f aca="false">I119+1</f>
        <v>2069</v>
      </c>
      <c r="J120" s="1"/>
      <c r="K120" s="1"/>
      <c r="L120" s="1"/>
      <c r="M120" s="15" t="s">
        <v>106</v>
      </c>
      <c r="N120" s="93" t="n">
        <f aca="false">N119</f>
        <v>0</v>
      </c>
      <c r="O120" s="93" t="n">
        <v>68.6339502256575</v>
      </c>
      <c r="P120" s="93" t="n">
        <v>87.4091949682386</v>
      </c>
      <c r="Q120" s="93" t="n">
        <f aca="false">Q119</f>
        <v>64.9423430474957</v>
      </c>
      <c r="R120" s="93"/>
      <c r="S120" s="93" t="n">
        <f aca="false">S119</f>
        <v>50</v>
      </c>
      <c r="T120" s="93" t="n">
        <v>32.9</v>
      </c>
      <c r="U120" s="93"/>
      <c r="V120" s="93" t="n">
        <f aca="false">70%*P120+30%*O120</f>
        <v>81.7766215454643</v>
      </c>
      <c r="W120" s="93" t="n">
        <f aca="false">80%*P120+20%*O120</f>
        <v>83.6541460197224</v>
      </c>
      <c r="X120" s="93"/>
    </row>
    <row r="121" customFormat="false" ht="13.8" hidden="false" customHeight="false" outlineLevel="1" collapsed="false">
      <c r="A121" s="1"/>
      <c r="B121" s="1"/>
      <c r="C121" s="1"/>
      <c r="D121" s="1"/>
      <c r="E121" s="1"/>
      <c r="F121" s="1"/>
      <c r="G121" s="1"/>
      <c r="H121" s="61" t="n">
        <f aca="false">H120+1</f>
        <v>46</v>
      </c>
      <c r="I121" s="86" t="n">
        <f aca="false">I120+1</f>
        <v>2070</v>
      </c>
      <c r="J121" s="1"/>
      <c r="K121" s="1"/>
      <c r="L121" s="1"/>
      <c r="M121" s="15" t="s">
        <v>106</v>
      </c>
      <c r="N121" s="93" t="n">
        <f aca="false">N120</f>
        <v>0</v>
      </c>
      <c r="O121" s="93" t="n">
        <v>68.6339502256575</v>
      </c>
      <c r="P121" s="93" t="n">
        <v>87.4091949682386</v>
      </c>
      <c r="Q121" s="93" t="n">
        <f aca="false">Q120</f>
        <v>64.9423430474957</v>
      </c>
      <c r="R121" s="93"/>
      <c r="S121" s="93" t="n">
        <f aca="false">S120</f>
        <v>50</v>
      </c>
      <c r="T121" s="93" t="n">
        <v>32.9</v>
      </c>
      <c r="U121" s="93"/>
      <c r="V121" s="93" t="n">
        <f aca="false">70%*P121+30%*O121</f>
        <v>81.7766215454643</v>
      </c>
      <c r="W121" s="93" t="n">
        <f aca="false">80%*P121+20%*O121</f>
        <v>83.6541460197224</v>
      </c>
      <c r="X121" s="93"/>
    </row>
    <row r="122" customFormat="false" ht="13.8" hidden="false" customHeight="false" outlineLevel="1" collapsed="false">
      <c r="A122" s="1"/>
      <c r="B122" s="1"/>
      <c r="C122" s="1"/>
      <c r="D122" s="1"/>
      <c r="E122" s="1"/>
      <c r="F122" s="1"/>
      <c r="G122" s="1"/>
      <c r="H122" s="61" t="n">
        <f aca="false">H121+1</f>
        <v>47</v>
      </c>
      <c r="I122" s="86" t="n">
        <f aca="false">I121+1</f>
        <v>2071</v>
      </c>
      <c r="J122" s="1"/>
      <c r="K122" s="1"/>
      <c r="L122" s="1"/>
      <c r="M122" s="15" t="s">
        <v>106</v>
      </c>
      <c r="N122" s="93" t="n">
        <f aca="false">N121</f>
        <v>0</v>
      </c>
      <c r="O122" s="93" t="n">
        <v>68.6339502256575</v>
      </c>
      <c r="P122" s="93" t="n">
        <v>87.4091949682386</v>
      </c>
      <c r="Q122" s="93" t="n">
        <f aca="false">Q121</f>
        <v>64.9423430474957</v>
      </c>
      <c r="R122" s="93"/>
      <c r="S122" s="93" t="n">
        <f aca="false">S121</f>
        <v>50</v>
      </c>
      <c r="T122" s="93" t="n">
        <v>32.9</v>
      </c>
      <c r="U122" s="93"/>
      <c r="V122" s="93" t="n">
        <f aca="false">70%*P122+30%*O122</f>
        <v>81.7766215454643</v>
      </c>
      <c r="W122" s="93" t="n">
        <f aca="false">80%*P122+20%*O122</f>
        <v>83.6541460197224</v>
      </c>
      <c r="X122" s="93"/>
    </row>
    <row r="123" customFormat="false" ht="13.8" hidden="false" customHeight="false" outlineLevel="1" collapsed="false">
      <c r="A123" s="1"/>
      <c r="B123" s="1"/>
      <c r="C123" s="1"/>
      <c r="D123" s="1"/>
      <c r="E123" s="1"/>
      <c r="F123" s="1"/>
      <c r="G123" s="1"/>
      <c r="H123" s="61" t="n">
        <f aca="false">H122+1</f>
        <v>48</v>
      </c>
      <c r="I123" s="86" t="n">
        <f aca="false">I122+1</f>
        <v>2072</v>
      </c>
      <c r="J123" s="1"/>
      <c r="K123" s="1"/>
      <c r="L123" s="1"/>
      <c r="M123" s="15" t="s">
        <v>106</v>
      </c>
      <c r="N123" s="93" t="n">
        <f aca="false">N122</f>
        <v>0</v>
      </c>
      <c r="O123" s="93" t="n">
        <v>68.6339502256575</v>
      </c>
      <c r="P123" s="93" t="n">
        <v>87.4091949682386</v>
      </c>
      <c r="Q123" s="93" t="n">
        <f aca="false">Q122</f>
        <v>64.9423430474957</v>
      </c>
      <c r="R123" s="93"/>
      <c r="S123" s="93" t="n">
        <f aca="false">S122</f>
        <v>50</v>
      </c>
      <c r="T123" s="93" t="n">
        <v>32.9</v>
      </c>
      <c r="U123" s="93"/>
      <c r="V123" s="93" t="n">
        <f aca="false">70%*P123+30%*O123</f>
        <v>81.7766215454643</v>
      </c>
      <c r="W123" s="93" t="n">
        <f aca="false">80%*P123+20%*O123</f>
        <v>83.6541460197224</v>
      </c>
      <c r="X123" s="93"/>
    </row>
    <row r="124" customFormat="false" ht="13.8" hidden="false" customHeight="false" outlineLevel="1" collapsed="false">
      <c r="A124" s="1"/>
      <c r="B124" s="1"/>
      <c r="C124" s="1"/>
      <c r="D124" s="1"/>
      <c r="E124" s="1"/>
      <c r="F124" s="1"/>
      <c r="G124" s="1"/>
      <c r="H124" s="61" t="n">
        <f aca="false">H123+1</f>
        <v>49</v>
      </c>
      <c r="I124" s="86" t="n">
        <f aca="false">I123+1</f>
        <v>2073</v>
      </c>
      <c r="J124" s="1"/>
      <c r="K124" s="1"/>
      <c r="L124" s="1"/>
      <c r="M124" s="15" t="s">
        <v>106</v>
      </c>
      <c r="N124" s="93" t="n">
        <f aca="false">N123</f>
        <v>0</v>
      </c>
      <c r="O124" s="93" t="n">
        <v>68.6339502256575</v>
      </c>
      <c r="P124" s="93" t="n">
        <v>87.4091949682386</v>
      </c>
      <c r="Q124" s="93" t="n">
        <f aca="false">Q123</f>
        <v>64.9423430474957</v>
      </c>
      <c r="R124" s="93"/>
      <c r="S124" s="93" t="n">
        <f aca="false">S123</f>
        <v>50</v>
      </c>
      <c r="T124" s="93" t="n">
        <v>32.9</v>
      </c>
      <c r="U124" s="93"/>
      <c r="V124" s="93" t="n">
        <f aca="false">70%*P124+30%*O124</f>
        <v>81.7766215454643</v>
      </c>
      <c r="W124" s="93" t="n">
        <f aca="false">80%*P124+20%*O124</f>
        <v>83.6541460197224</v>
      </c>
      <c r="X124" s="93"/>
    </row>
    <row r="125" customFormat="false" ht="13.8" hidden="false" customHeight="false" outlineLevel="1" collapsed="false">
      <c r="A125" s="1"/>
      <c r="B125" s="1"/>
      <c r="C125" s="1"/>
      <c r="D125" s="1"/>
      <c r="E125" s="1"/>
      <c r="F125" s="1"/>
      <c r="G125" s="1"/>
      <c r="H125" s="61" t="n">
        <f aca="false">H124+1</f>
        <v>50</v>
      </c>
      <c r="I125" s="86" t="n">
        <f aca="false">I124+1</f>
        <v>2074</v>
      </c>
      <c r="J125" s="1"/>
      <c r="K125" s="1"/>
      <c r="L125" s="1"/>
      <c r="M125" s="15" t="s">
        <v>106</v>
      </c>
      <c r="N125" s="93" t="n">
        <f aca="false">N124</f>
        <v>0</v>
      </c>
      <c r="O125" s="93" t="n">
        <v>68.6339502256575</v>
      </c>
      <c r="P125" s="93" t="n">
        <v>87.4091949682386</v>
      </c>
      <c r="Q125" s="93" t="n">
        <f aca="false">Q124</f>
        <v>64.9423430474957</v>
      </c>
      <c r="R125" s="93"/>
      <c r="S125" s="93" t="n">
        <f aca="false">S124</f>
        <v>50</v>
      </c>
      <c r="T125" s="93" t="n">
        <v>32.9</v>
      </c>
      <c r="U125" s="93"/>
      <c r="V125" s="93" t="n">
        <f aca="false">70%*P125+30%*O125</f>
        <v>81.7766215454643</v>
      </c>
      <c r="W125" s="93" t="n">
        <f aca="false">80%*P125+20%*O125</f>
        <v>83.6541460197224</v>
      </c>
      <c r="X125" s="93"/>
    </row>
    <row r="126" customFormat="false" ht="13.8" hidden="false" customHeight="false" outlineLevel="1" collapsed="false">
      <c r="A126" s="1"/>
      <c r="B126" s="1"/>
      <c r="C126" s="1"/>
      <c r="D126" s="1"/>
      <c r="E126" s="1"/>
      <c r="F126" s="1"/>
      <c r="G126" s="1"/>
      <c r="H126" s="61" t="n">
        <f aca="false">H125+1</f>
        <v>51</v>
      </c>
      <c r="I126" s="86" t="n">
        <f aca="false">I125+1</f>
        <v>2075</v>
      </c>
      <c r="J126" s="1"/>
      <c r="K126" s="1"/>
      <c r="L126" s="1"/>
      <c r="M126" s="15" t="s">
        <v>106</v>
      </c>
      <c r="N126" s="93" t="n">
        <f aca="false">N125</f>
        <v>0</v>
      </c>
      <c r="O126" s="93" t="n">
        <v>68.6339502256575</v>
      </c>
      <c r="P126" s="93" t="n">
        <v>87.4091949682386</v>
      </c>
      <c r="Q126" s="93" t="n">
        <f aca="false">Q125</f>
        <v>64.9423430474957</v>
      </c>
      <c r="R126" s="93"/>
      <c r="S126" s="93" t="n">
        <f aca="false">S125</f>
        <v>50</v>
      </c>
      <c r="T126" s="93" t="n">
        <v>32.9</v>
      </c>
      <c r="U126" s="93"/>
      <c r="V126" s="93" t="n">
        <f aca="false">70%*P126+30%*O126</f>
        <v>81.7766215454643</v>
      </c>
      <c r="W126" s="93" t="n">
        <f aca="false">80%*P126+20%*O126</f>
        <v>83.6541460197224</v>
      </c>
      <c r="X126" s="93"/>
    </row>
    <row r="127" customFormat="false" ht="13.8" hidden="false" customHeight="false" outlineLevel="1" collapsed="false">
      <c r="A127" s="1"/>
      <c r="B127" s="1"/>
      <c r="C127" s="1"/>
      <c r="D127" s="1"/>
      <c r="E127" s="1"/>
      <c r="F127" s="1"/>
      <c r="G127" s="1"/>
      <c r="H127" s="61" t="n">
        <f aca="false">H126+1</f>
        <v>52</v>
      </c>
      <c r="I127" s="86" t="n">
        <f aca="false">I126+1</f>
        <v>2076</v>
      </c>
      <c r="J127" s="1"/>
      <c r="K127" s="1"/>
      <c r="L127" s="1"/>
      <c r="M127" s="15" t="s">
        <v>106</v>
      </c>
      <c r="N127" s="93" t="n">
        <f aca="false">N126</f>
        <v>0</v>
      </c>
      <c r="O127" s="93" t="n">
        <v>68.6339502256575</v>
      </c>
      <c r="P127" s="93" t="n">
        <v>87.4091949682386</v>
      </c>
      <c r="Q127" s="93" t="n">
        <f aca="false">Q126</f>
        <v>64.9423430474957</v>
      </c>
      <c r="R127" s="93"/>
      <c r="S127" s="93" t="n">
        <f aca="false">S126</f>
        <v>50</v>
      </c>
      <c r="T127" s="93" t="n">
        <v>32.9</v>
      </c>
      <c r="U127" s="93"/>
      <c r="V127" s="93" t="n">
        <f aca="false">70%*P127+30%*O127</f>
        <v>81.7766215454643</v>
      </c>
      <c r="W127" s="93" t="n">
        <f aca="false">80%*P127+20%*O127</f>
        <v>83.6541460197224</v>
      </c>
      <c r="X127" s="93"/>
    </row>
    <row r="128" customFormat="false" ht="13.8" hidden="false" customHeight="false" outlineLevel="1" collapsed="false">
      <c r="A128" s="1"/>
      <c r="B128" s="1"/>
      <c r="C128" s="1"/>
      <c r="D128" s="1"/>
      <c r="E128" s="1"/>
      <c r="F128" s="1"/>
      <c r="G128" s="1"/>
      <c r="H128" s="1"/>
      <c r="I128" s="1"/>
      <c r="J128" s="1"/>
      <c r="K128" s="1"/>
      <c r="L128" s="1"/>
      <c r="M128" s="1"/>
      <c r="N128" s="1"/>
      <c r="O128" s="1"/>
      <c r="P128" s="1"/>
      <c r="Q128" s="1"/>
      <c r="R128" s="1"/>
      <c r="S128" s="1"/>
      <c r="T128" s="1"/>
      <c r="U128" s="1"/>
    </row>
    <row r="129" customFormat="false" ht="13.8" hidden="false" customHeight="false" outlineLevel="0" collapsed="false">
      <c r="A129" s="1"/>
      <c r="B129" s="11" t="n">
        <f aca="false">B70+1</f>
        <v>3</v>
      </c>
      <c r="C129" s="11" t="s">
        <v>90</v>
      </c>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row>
    <row r="130" customFormat="false" ht="13.8" hidden="true" customHeight="false" outlineLevel="1" collapsed="false"/>
    <row r="131" customFormat="false" ht="13.8" hidden="true" customHeight="false" outlineLevel="1" collapsed="false">
      <c r="C131" s="6" t="s">
        <v>510</v>
      </c>
      <c r="H131" s="94" t="s">
        <v>511</v>
      </c>
      <c r="I131" s="94" t="s">
        <v>268</v>
      </c>
      <c r="J131" s="94" t="s">
        <v>512</v>
      </c>
      <c r="N131" s="86" t="str">
        <f aca="false" t="array" ref="N131:P131">H131:J131</f>
        <v>E1M</v>
      </c>
      <c r="O131" s="86" t="str">
        <v>E3M</v>
      </c>
      <c r="P131" s="86" t="str">
        <v>E6M</v>
      </c>
    </row>
    <row r="132" customFormat="false" ht="13.8" hidden="true" customHeight="false" outlineLevel="1" collapsed="false"/>
    <row r="133" customFormat="false" ht="13.8" hidden="true" customHeight="false" outlineLevel="1" collapsed="false">
      <c r="C133" s="14" t="s">
        <v>513</v>
      </c>
      <c r="E133" s="14" t="s">
        <v>514</v>
      </c>
    </row>
    <row r="134" customFormat="false" ht="13.8" hidden="true" customHeight="false" outlineLevel="1" collapsed="false">
      <c r="B134" s="15" t="s">
        <v>25</v>
      </c>
      <c r="C134" s="129" t="n">
        <f aca="false">Model_Start_Date</f>
        <v>45658</v>
      </c>
      <c r="E134" s="26" t="n">
        <f aca="false">EOMONTH(C134,0)</f>
        <v>45688</v>
      </c>
      <c r="G134" s="15" t="s">
        <v>33</v>
      </c>
      <c r="H134" s="130"/>
      <c r="I134" s="89" t="n">
        <v>0.026145</v>
      </c>
      <c r="J134" s="89" t="n">
        <v>0.026145</v>
      </c>
      <c r="M134" s="15" t="s">
        <v>33</v>
      </c>
      <c r="N134" s="18" t="n">
        <f aca="false" t="array" ref="N134:P633">IF(sensi=1,$H$134:$J$633+Dashboard!$U$139,$H$134:$J$633)</f>
        <v>0</v>
      </c>
      <c r="O134" s="18" t="n">
        <v>0.026145</v>
      </c>
      <c r="P134" s="18" t="n">
        <v>0.026145</v>
      </c>
    </row>
    <row r="135" customFormat="false" ht="13.8" hidden="true" customHeight="false" outlineLevel="1" collapsed="false">
      <c r="B135" s="15" t="s">
        <v>25</v>
      </c>
      <c r="C135" s="26" t="n">
        <f aca="false">E134+1</f>
        <v>45689</v>
      </c>
      <c r="E135" s="26" t="n">
        <f aca="false">EOMONTH(C135,0)</f>
        <v>45716</v>
      </c>
      <c r="G135" s="15" t="s">
        <v>33</v>
      </c>
      <c r="H135" s="130"/>
      <c r="I135" s="89" t="n">
        <v>0.026145</v>
      </c>
      <c r="J135" s="89" t="n">
        <v>0.026145</v>
      </c>
      <c r="M135" s="15" t="s">
        <v>33</v>
      </c>
      <c r="N135" s="18" t="n">
        <v>0</v>
      </c>
      <c r="O135" s="18" t="n">
        <v>0.026145</v>
      </c>
      <c r="P135" s="18" t="n">
        <v>0.026145</v>
      </c>
    </row>
    <row r="136" customFormat="false" ht="13.8" hidden="true" customHeight="false" outlineLevel="1" collapsed="false">
      <c r="B136" s="15" t="s">
        <v>25</v>
      </c>
      <c r="C136" s="26" t="n">
        <f aca="false">E135+1</f>
        <v>45717</v>
      </c>
      <c r="E136" s="26" t="n">
        <f aca="false">EOMONTH(C136,0)</f>
        <v>45747</v>
      </c>
      <c r="G136" s="15" t="s">
        <v>33</v>
      </c>
      <c r="H136" s="130"/>
      <c r="I136" s="89" t="n">
        <v>0.026145</v>
      </c>
      <c r="J136" s="89" t="n">
        <v>0.026145</v>
      </c>
      <c r="M136" s="15" t="s">
        <v>33</v>
      </c>
      <c r="N136" s="18" t="n">
        <v>0</v>
      </c>
      <c r="O136" s="18" t="n">
        <v>0.026145</v>
      </c>
      <c r="P136" s="18" t="n">
        <v>0.026145</v>
      </c>
    </row>
    <row r="137" customFormat="false" ht="13.8" hidden="true" customHeight="false" outlineLevel="1" collapsed="false">
      <c r="B137" s="15" t="s">
        <v>25</v>
      </c>
      <c r="C137" s="26" t="n">
        <f aca="false">E136+1</f>
        <v>45748</v>
      </c>
      <c r="E137" s="26" t="n">
        <f aca="false">EOMONTH(C137,0)</f>
        <v>45777</v>
      </c>
      <c r="G137" s="15" t="s">
        <v>33</v>
      </c>
      <c r="H137" s="130"/>
      <c r="I137" s="89" t="n">
        <v>0.026145</v>
      </c>
      <c r="J137" s="89" t="n">
        <v>0.026145</v>
      </c>
      <c r="M137" s="15" t="s">
        <v>33</v>
      </c>
      <c r="N137" s="18" t="n">
        <v>0</v>
      </c>
      <c r="O137" s="18" t="n">
        <v>0.026145</v>
      </c>
      <c r="P137" s="18" t="n">
        <v>0.026145</v>
      </c>
    </row>
    <row r="138" customFormat="false" ht="13.8" hidden="true" customHeight="false" outlineLevel="1" collapsed="false">
      <c r="B138" s="15" t="s">
        <v>25</v>
      </c>
      <c r="C138" s="26" t="n">
        <f aca="false">E137+1</f>
        <v>45778</v>
      </c>
      <c r="E138" s="26" t="n">
        <f aca="false">EOMONTH(C138,0)</f>
        <v>45808</v>
      </c>
      <c r="G138" s="15" t="s">
        <v>33</v>
      </c>
      <c r="H138" s="130"/>
      <c r="I138" s="89" t="n">
        <v>0.026145</v>
      </c>
      <c r="J138" s="89" t="n">
        <v>0.026145</v>
      </c>
      <c r="M138" s="15" t="s">
        <v>33</v>
      </c>
      <c r="N138" s="18" t="n">
        <v>0</v>
      </c>
      <c r="O138" s="18" t="n">
        <v>0.026145</v>
      </c>
      <c r="P138" s="18" t="n">
        <v>0.026145</v>
      </c>
    </row>
    <row r="139" customFormat="false" ht="13.8" hidden="true" customHeight="false" outlineLevel="1" collapsed="false">
      <c r="B139" s="15" t="s">
        <v>25</v>
      </c>
      <c r="C139" s="26" t="n">
        <f aca="false">E138+1</f>
        <v>45809</v>
      </c>
      <c r="E139" s="26" t="n">
        <f aca="false">EOMONTH(C139,0)</f>
        <v>45838</v>
      </c>
      <c r="G139" s="15" t="s">
        <v>33</v>
      </c>
      <c r="H139" s="130"/>
      <c r="I139" s="89" t="n">
        <v>0.026145</v>
      </c>
      <c r="J139" s="89" t="n">
        <v>0.026145</v>
      </c>
      <c r="M139" s="15" t="s">
        <v>33</v>
      </c>
      <c r="N139" s="18" t="n">
        <v>0</v>
      </c>
      <c r="O139" s="18" t="n">
        <v>0.026145</v>
      </c>
      <c r="P139" s="18" t="n">
        <v>0.026145</v>
      </c>
    </row>
    <row r="140" customFormat="false" ht="13.8" hidden="true" customHeight="false" outlineLevel="1" collapsed="false">
      <c r="B140" s="15" t="s">
        <v>25</v>
      </c>
      <c r="C140" s="26" t="n">
        <f aca="false">E139+1</f>
        <v>45839</v>
      </c>
      <c r="E140" s="26" t="n">
        <f aca="false">EOMONTH(C140,0)</f>
        <v>45869</v>
      </c>
      <c r="G140" s="15" t="s">
        <v>33</v>
      </c>
      <c r="H140" s="130"/>
      <c r="I140" s="89" t="n">
        <v>0.026145</v>
      </c>
      <c r="J140" s="89" t="n">
        <v>0.026145</v>
      </c>
      <c r="M140" s="15" t="s">
        <v>33</v>
      </c>
      <c r="N140" s="18" t="n">
        <v>0</v>
      </c>
      <c r="O140" s="18" t="n">
        <v>0.026145</v>
      </c>
      <c r="P140" s="18" t="n">
        <v>0.026145</v>
      </c>
    </row>
    <row r="141" customFormat="false" ht="13.8" hidden="true" customHeight="false" outlineLevel="1" collapsed="false">
      <c r="B141" s="15" t="s">
        <v>25</v>
      </c>
      <c r="C141" s="26" t="n">
        <f aca="false">E140+1</f>
        <v>45870</v>
      </c>
      <c r="E141" s="26" t="n">
        <f aca="false">EOMONTH(C141,0)</f>
        <v>45900</v>
      </c>
      <c r="G141" s="15" t="s">
        <v>33</v>
      </c>
      <c r="H141" s="130"/>
      <c r="I141" s="89" t="n">
        <v>0.026145</v>
      </c>
      <c r="J141" s="89" t="n">
        <v>0.026145</v>
      </c>
      <c r="M141" s="15" t="s">
        <v>33</v>
      </c>
      <c r="N141" s="18" t="n">
        <v>0</v>
      </c>
      <c r="O141" s="18" t="n">
        <v>0.026145</v>
      </c>
      <c r="P141" s="18" t="n">
        <v>0.026145</v>
      </c>
    </row>
    <row r="142" customFormat="false" ht="13.8" hidden="true" customHeight="false" outlineLevel="1" collapsed="false">
      <c r="B142" s="15" t="s">
        <v>25</v>
      </c>
      <c r="C142" s="26" t="n">
        <f aca="false">E141+1</f>
        <v>45901</v>
      </c>
      <c r="E142" s="26" t="n">
        <f aca="false">EOMONTH(C142,0)</f>
        <v>45930</v>
      </c>
      <c r="G142" s="15" t="s">
        <v>33</v>
      </c>
      <c r="H142" s="130"/>
      <c r="I142" s="89" t="n">
        <v>0.026145</v>
      </c>
      <c r="J142" s="89" t="n">
        <v>0.026145</v>
      </c>
      <c r="M142" s="15" t="s">
        <v>33</v>
      </c>
      <c r="N142" s="18" t="n">
        <v>0</v>
      </c>
      <c r="O142" s="18" t="n">
        <v>0.026145</v>
      </c>
      <c r="P142" s="18" t="n">
        <v>0.026145</v>
      </c>
    </row>
    <row r="143" customFormat="false" ht="13.8" hidden="true" customHeight="false" outlineLevel="1" collapsed="false">
      <c r="B143" s="15" t="s">
        <v>25</v>
      </c>
      <c r="C143" s="26" t="n">
        <f aca="false">E142+1</f>
        <v>45931</v>
      </c>
      <c r="E143" s="26" t="n">
        <f aca="false">EOMONTH(C143,0)</f>
        <v>45961</v>
      </c>
      <c r="G143" s="15" t="s">
        <v>33</v>
      </c>
      <c r="H143" s="130"/>
      <c r="I143" s="89" t="n">
        <v>0.026145</v>
      </c>
      <c r="J143" s="89" t="n">
        <v>0.026145</v>
      </c>
      <c r="M143" s="15" t="s">
        <v>33</v>
      </c>
      <c r="N143" s="18" t="n">
        <v>0</v>
      </c>
      <c r="O143" s="18" t="n">
        <v>0.026145</v>
      </c>
      <c r="P143" s="18" t="n">
        <v>0.026145</v>
      </c>
    </row>
    <row r="144" customFormat="false" ht="13.8" hidden="true" customHeight="false" outlineLevel="1" collapsed="false">
      <c r="B144" s="15" t="s">
        <v>25</v>
      </c>
      <c r="C144" s="26" t="n">
        <f aca="false">E143+1</f>
        <v>45962</v>
      </c>
      <c r="E144" s="26" t="n">
        <f aca="false">EOMONTH(C144,0)</f>
        <v>45991</v>
      </c>
      <c r="G144" s="15" t="s">
        <v>33</v>
      </c>
      <c r="H144" s="130"/>
      <c r="I144" s="89" t="n">
        <v>0.026145</v>
      </c>
      <c r="J144" s="89" t="n">
        <v>0.026145</v>
      </c>
      <c r="M144" s="15" t="s">
        <v>33</v>
      </c>
      <c r="N144" s="18" t="n">
        <v>0</v>
      </c>
      <c r="O144" s="18" t="n">
        <v>0.026145</v>
      </c>
      <c r="P144" s="18" t="n">
        <v>0.026145</v>
      </c>
    </row>
    <row r="145" customFormat="false" ht="13.8" hidden="true" customHeight="false" outlineLevel="1" collapsed="false">
      <c r="B145" s="15" t="s">
        <v>25</v>
      </c>
      <c r="C145" s="26" t="n">
        <f aca="false">E144+1</f>
        <v>45992</v>
      </c>
      <c r="E145" s="26" t="n">
        <f aca="false">EOMONTH(C145,0)</f>
        <v>46022</v>
      </c>
      <c r="G145" s="15" t="s">
        <v>33</v>
      </c>
      <c r="H145" s="130"/>
      <c r="I145" s="89" t="n">
        <v>0.026145</v>
      </c>
      <c r="J145" s="89" t="n">
        <v>0.026145</v>
      </c>
      <c r="M145" s="15" t="s">
        <v>33</v>
      </c>
      <c r="N145" s="18" t="n">
        <v>0</v>
      </c>
      <c r="O145" s="18" t="n">
        <v>0.026145</v>
      </c>
      <c r="P145" s="18" t="n">
        <v>0.026145</v>
      </c>
    </row>
    <row r="146" customFormat="false" ht="13.8" hidden="true" customHeight="false" outlineLevel="1" collapsed="false">
      <c r="B146" s="15" t="s">
        <v>25</v>
      </c>
      <c r="C146" s="26" t="n">
        <f aca="false">E145+1</f>
        <v>46023</v>
      </c>
      <c r="E146" s="26" t="n">
        <f aca="false">EOMONTH(C146,0)</f>
        <v>46053</v>
      </c>
      <c r="G146" s="15" t="s">
        <v>33</v>
      </c>
      <c r="H146" s="130"/>
      <c r="I146" s="89" t="n">
        <v>0.026145</v>
      </c>
      <c r="J146" s="89" t="n">
        <v>0.026145</v>
      </c>
      <c r="M146" s="15" t="s">
        <v>33</v>
      </c>
      <c r="N146" s="18" t="n">
        <v>0</v>
      </c>
      <c r="O146" s="18" t="n">
        <v>0.026145</v>
      </c>
      <c r="P146" s="18" t="n">
        <v>0.026145</v>
      </c>
    </row>
    <row r="147" customFormat="false" ht="13.8" hidden="true" customHeight="false" outlineLevel="1" collapsed="false">
      <c r="B147" s="15" t="s">
        <v>25</v>
      </c>
      <c r="C147" s="26" t="n">
        <f aca="false">E146+1</f>
        <v>46054</v>
      </c>
      <c r="E147" s="26" t="n">
        <f aca="false">EOMONTH(C147,0)</f>
        <v>46081</v>
      </c>
      <c r="G147" s="15" t="s">
        <v>33</v>
      </c>
      <c r="H147" s="130"/>
      <c r="I147" s="89" t="n">
        <v>0.026145</v>
      </c>
      <c r="J147" s="89" t="n">
        <v>0.026145</v>
      </c>
      <c r="M147" s="15" t="s">
        <v>33</v>
      </c>
      <c r="N147" s="18" t="n">
        <v>0</v>
      </c>
      <c r="O147" s="18" t="n">
        <v>0.026145</v>
      </c>
      <c r="P147" s="18" t="n">
        <v>0.026145</v>
      </c>
    </row>
    <row r="148" customFormat="false" ht="13.8" hidden="true" customHeight="false" outlineLevel="1" collapsed="false">
      <c r="B148" s="15" t="s">
        <v>25</v>
      </c>
      <c r="C148" s="26" t="n">
        <f aca="false">E147+1</f>
        <v>46082</v>
      </c>
      <c r="E148" s="26" t="n">
        <f aca="false">EOMONTH(C148,0)</f>
        <v>46112</v>
      </c>
      <c r="G148" s="15" t="s">
        <v>33</v>
      </c>
      <c r="H148" s="130"/>
      <c r="I148" s="89" t="n">
        <v>0.026145</v>
      </c>
      <c r="J148" s="89" t="n">
        <v>0.026145</v>
      </c>
      <c r="M148" s="15" t="s">
        <v>33</v>
      </c>
      <c r="N148" s="18" t="n">
        <v>0</v>
      </c>
      <c r="O148" s="18" t="n">
        <v>0.026145</v>
      </c>
      <c r="P148" s="18" t="n">
        <v>0.026145</v>
      </c>
    </row>
    <row r="149" customFormat="false" ht="13.8" hidden="true" customHeight="false" outlineLevel="1" collapsed="false">
      <c r="B149" s="15" t="s">
        <v>25</v>
      </c>
      <c r="C149" s="26" t="n">
        <f aca="false">E148+1</f>
        <v>46113</v>
      </c>
      <c r="E149" s="26" t="n">
        <f aca="false">EOMONTH(C149,0)</f>
        <v>46142</v>
      </c>
      <c r="G149" s="15" t="s">
        <v>33</v>
      </c>
      <c r="H149" s="130"/>
      <c r="I149" s="89" t="n">
        <v>0.026145</v>
      </c>
      <c r="J149" s="89" t="n">
        <v>0.026145</v>
      </c>
      <c r="M149" s="15" t="s">
        <v>33</v>
      </c>
      <c r="N149" s="18" t="n">
        <v>0</v>
      </c>
      <c r="O149" s="18" t="n">
        <v>0.026145</v>
      </c>
      <c r="P149" s="18" t="n">
        <v>0.026145</v>
      </c>
    </row>
    <row r="150" customFormat="false" ht="13.8" hidden="true" customHeight="false" outlineLevel="1" collapsed="false">
      <c r="B150" s="15" t="s">
        <v>25</v>
      </c>
      <c r="C150" s="26" t="n">
        <f aca="false">E149+1</f>
        <v>46143</v>
      </c>
      <c r="E150" s="26" t="n">
        <f aca="false">EOMONTH(C150,0)</f>
        <v>46173</v>
      </c>
      <c r="G150" s="15" t="s">
        <v>33</v>
      </c>
      <c r="H150" s="130"/>
      <c r="I150" s="89" t="n">
        <v>0.026145</v>
      </c>
      <c r="J150" s="89" t="n">
        <v>0.026145</v>
      </c>
      <c r="M150" s="15" t="s">
        <v>33</v>
      </c>
      <c r="N150" s="18" t="n">
        <v>0</v>
      </c>
      <c r="O150" s="18" t="n">
        <v>0.026145</v>
      </c>
      <c r="P150" s="18" t="n">
        <v>0.026145</v>
      </c>
    </row>
    <row r="151" customFormat="false" ht="13.8" hidden="true" customHeight="false" outlineLevel="1" collapsed="false">
      <c r="B151" s="15" t="s">
        <v>25</v>
      </c>
      <c r="C151" s="26" t="n">
        <f aca="false">E150+1</f>
        <v>46174</v>
      </c>
      <c r="E151" s="26" t="n">
        <f aca="false">EOMONTH(C151,0)</f>
        <v>46203</v>
      </c>
      <c r="G151" s="15" t="s">
        <v>33</v>
      </c>
      <c r="H151" s="130"/>
      <c r="I151" s="89" t="n">
        <v>0.026145</v>
      </c>
      <c r="J151" s="89" t="n">
        <v>0.026145</v>
      </c>
      <c r="M151" s="15" t="s">
        <v>33</v>
      </c>
      <c r="N151" s="18" t="n">
        <v>0</v>
      </c>
      <c r="O151" s="18" t="n">
        <v>0.026145</v>
      </c>
      <c r="P151" s="18" t="n">
        <v>0.026145</v>
      </c>
    </row>
    <row r="152" customFormat="false" ht="13.8" hidden="true" customHeight="false" outlineLevel="1" collapsed="false">
      <c r="B152" s="15" t="s">
        <v>25</v>
      </c>
      <c r="C152" s="26" t="n">
        <f aca="false">E151+1</f>
        <v>46204</v>
      </c>
      <c r="E152" s="26" t="n">
        <f aca="false">EOMONTH(C152,0)</f>
        <v>46234</v>
      </c>
      <c r="G152" s="15" t="s">
        <v>33</v>
      </c>
      <c r="H152" s="130"/>
      <c r="I152" s="89" t="n">
        <v>0.026145</v>
      </c>
      <c r="J152" s="89" t="n">
        <v>0.026145</v>
      </c>
      <c r="M152" s="15" t="s">
        <v>33</v>
      </c>
      <c r="N152" s="18" t="n">
        <v>0</v>
      </c>
      <c r="O152" s="18" t="n">
        <v>0.026145</v>
      </c>
      <c r="P152" s="18" t="n">
        <v>0.026145</v>
      </c>
    </row>
    <row r="153" customFormat="false" ht="13.8" hidden="true" customHeight="false" outlineLevel="1" collapsed="false">
      <c r="B153" s="15" t="s">
        <v>25</v>
      </c>
      <c r="C153" s="26" t="n">
        <f aca="false">E152+1</f>
        <v>46235</v>
      </c>
      <c r="E153" s="26" t="n">
        <f aca="false">EOMONTH(C153,0)</f>
        <v>46265</v>
      </c>
      <c r="G153" s="15" t="s">
        <v>33</v>
      </c>
      <c r="H153" s="130"/>
      <c r="I153" s="89" t="n">
        <v>0.026145</v>
      </c>
      <c r="J153" s="89" t="n">
        <v>0.026145</v>
      </c>
      <c r="M153" s="15" t="s">
        <v>33</v>
      </c>
      <c r="N153" s="18" t="n">
        <v>0</v>
      </c>
      <c r="O153" s="18" t="n">
        <v>0.026145</v>
      </c>
      <c r="P153" s="18" t="n">
        <v>0.026145</v>
      </c>
    </row>
    <row r="154" customFormat="false" ht="13.8" hidden="true" customHeight="false" outlineLevel="1" collapsed="false">
      <c r="B154" s="15" t="s">
        <v>25</v>
      </c>
      <c r="C154" s="26" t="n">
        <f aca="false">E153+1</f>
        <v>46266</v>
      </c>
      <c r="E154" s="26" t="n">
        <f aca="false">EOMONTH(C154,0)</f>
        <v>46295</v>
      </c>
      <c r="G154" s="15" t="s">
        <v>33</v>
      </c>
      <c r="H154" s="130"/>
      <c r="I154" s="89" t="n">
        <v>0.026145</v>
      </c>
      <c r="J154" s="89" t="n">
        <v>0.026145</v>
      </c>
      <c r="M154" s="15" t="s">
        <v>33</v>
      </c>
      <c r="N154" s="18" t="n">
        <v>0</v>
      </c>
      <c r="O154" s="18" t="n">
        <v>0.026145</v>
      </c>
      <c r="P154" s="18" t="n">
        <v>0.026145</v>
      </c>
    </row>
    <row r="155" customFormat="false" ht="13.8" hidden="true" customHeight="false" outlineLevel="1" collapsed="false">
      <c r="B155" s="15" t="s">
        <v>25</v>
      </c>
      <c r="C155" s="26" t="n">
        <f aca="false">E154+1</f>
        <v>46296</v>
      </c>
      <c r="E155" s="26" t="n">
        <f aca="false">EOMONTH(C155,0)</f>
        <v>46326</v>
      </c>
      <c r="G155" s="15" t="s">
        <v>33</v>
      </c>
      <c r="H155" s="130"/>
      <c r="I155" s="89" t="n">
        <v>0.026145</v>
      </c>
      <c r="J155" s="89" t="n">
        <v>0.026145</v>
      </c>
      <c r="M155" s="15" t="s">
        <v>33</v>
      </c>
      <c r="N155" s="18" t="n">
        <v>0</v>
      </c>
      <c r="O155" s="18" t="n">
        <v>0.026145</v>
      </c>
      <c r="P155" s="18" t="n">
        <v>0.026145</v>
      </c>
    </row>
    <row r="156" customFormat="false" ht="13.8" hidden="true" customHeight="false" outlineLevel="1" collapsed="false">
      <c r="B156" s="15" t="s">
        <v>25</v>
      </c>
      <c r="C156" s="26" t="n">
        <f aca="false">E155+1</f>
        <v>46327</v>
      </c>
      <c r="E156" s="26" t="n">
        <f aca="false">EOMONTH(C156,0)</f>
        <v>46356</v>
      </c>
      <c r="G156" s="15" t="s">
        <v>33</v>
      </c>
      <c r="H156" s="130"/>
      <c r="I156" s="89" t="n">
        <v>0.026145</v>
      </c>
      <c r="J156" s="89" t="n">
        <v>0.026145</v>
      </c>
      <c r="M156" s="15" t="s">
        <v>33</v>
      </c>
      <c r="N156" s="18" t="n">
        <v>0</v>
      </c>
      <c r="O156" s="18" t="n">
        <v>0.026145</v>
      </c>
      <c r="P156" s="18" t="n">
        <v>0.026145</v>
      </c>
    </row>
    <row r="157" customFormat="false" ht="13.8" hidden="true" customHeight="false" outlineLevel="1" collapsed="false">
      <c r="B157" s="15" t="s">
        <v>25</v>
      </c>
      <c r="C157" s="26" t="n">
        <f aca="false">E156+1</f>
        <v>46357</v>
      </c>
      <c r="E157" s="26" t="n">
        <f aca="false">EOMONTH(C157,0)</f>
        <v>46387</v>
      </c>
      <c r="G157" s="15" t="s">
        <v>33</v>
      </c>
      <c r="H157" s="130"/>
      <c r="I157" s="89" t="n">
        <v>0.026145</v>
      </c>
      <c r="J157" s="89" t="n">
        <v>0.026145</v>
      </c>
      <c r="M157" s="15" t="s">
        <v>33</v>
      </c>
      <c r="N157" s="18" t="n">
        <v>0</v>
      </c>
      <c r="O157" s="18" t="n">
        <v>0.026145</v>
      </c>
      <c r="P157" s="18" t="n">
        <v>0.026145</v>
      </c>
    </row>
    <row r="158" customFormat="false" ht="13.8" hidden="true" customHeight="false" outlineLevel="1" collapsed="false">
      <c r="B158" s="15" t="s">
        <v>25</v>
      </c>
      <c r="C158" s="26" t="n">
        <f aca="false">E157+1</f>
        <v>46388</v>
      </c>
      <c r="E158" s="26" t="n">
        <f aca="false">EOMONTH(C158,0)</f>
        <v>46418</v>
      </c>
      <c r="G158" s="15" t="s">
        <v>33</v>
      </c>
      <c r="H158" s="130"/>
      <c r="I158" s="89" t="n">
        <v>0.026145</v>
      </c>
      <c r="J158" s="89" t="n">
        <v>0.026145</v>
      </c>
      <c r="M158" s="15" t="s">
        <v>33</v>
      </c>
      <c r="N158" s="18" t="n">
        <v>0</v>
      </c>
      <c r="O158" s="18" t="n">
        <v>0.026145</v>
      </c>
      <c r="P158" s="18" t="n">
        <v>0.026145</v>
      </c>
    </row>
    <row r="159" customFormat="false" ht="13.8" hidden="true" customHeight="false" outlineLevel="1" collapsed="false">
      <c r="B159" s="15" t="s">
        <v>25</v>
      </c>
      <c r="C159" s="26" t="n">
        <f aca="false">E158+1</f>
        <v>46419</v>
      </c>
      <c r="E159" s="26" t="n">
        <f aca="false">EOMONTH(C159,0)</f>
        <v>46446</v>
      </c>
      <c r="G159" s="15" t="s">
        <v>33</v>
      </c>
      <c r="H159" s="130"/>
      <c r="I159" s="89" t="n">
        <v>0.026145</v>
      </c>
      <c r="J159" s="89" t="n">
        <v>0.026145</v>
      </c>
      <c r="M159" s="15" t="s">
        <v>33</v>
      </c>
      <c r="N159" s="18" t="n">
        <v>0</v>
      </c>
      <c r="O159" s="18" t="n">
        <v>0.026145</v>
      </c>
      <c r="P159" s="18" t="n">
        <v>0.026145</v>
      </c>
    </row>
    <row r="160" customFormat="false" ht="13.8" hidden="true" customHeight="false" outlineLevel="1" collapsed="false">
      <c r="B160" s="15" t="s">
        <v>25</v>
      </c>
      <c r="C160" s="26" t="n">
        <f aca="false">E159+1</f>
        <v>46447</v>
      </c>
      <c r="E160" s="26" t="n">
        <f aca="false">EOMONTH(C160,0)</f>
        <v>46477</v>
      </c>
      <c r="G160" s="15" t="s">
        <v>33</v>
      </c>
      <c r="H160" s="130"/>
      <c r="I160" s="89" t="n">
        <v>0.026145</v>
      </c>
      <c r="J160" s="89" t="n">
        <v>0.026145</v>
      </c>
      <c r="M160" s="15" t="s">
        <v>33</v>
      </c>
      <c r="N160" s="18" t="n">
        <v>0</v>
      </c>
      <c r="O160" s="18" t="n">
        <v>0.026145</v>
      </c>
      <c r="P160" s="18" t="n">
        <v>0.026145</v>
      </c>
    </row>
    <row r="161" customFormat="false" ht="13.8" hidden="true" customHeight="false" outlineLevel="1" collapsed="false">
      <c r="B161" s="15" t="s">
        <v>25</v>
      </c>
      <c r="C161" s="26" t="n">
        <f aca="false">E160+1</f>
        <v>46478</v>
      </c>
      <c r="E161" s="26" t="n">
        <f aca="false">EOMONTH(C161,0)</f>
        <v>46507</v>
      </c>
      <c r="G161" s="15" t="s">
        <v>33</v>
      </c>
      <c r="H161" s="130"/>
      <c r="I161" s="89" t="n">
        <v>0.026145</v>
      </c>
      <c r="J161" s="89" t="n">
        <v>0.026145</v>
      </c>
      <c r="M161" s="15" t="s">
        <v>33</v>
      </c>
      <c r="N161" s="18" t="n">
        <v>0</v>
      </c>
      <c r="O161" s="18" t="n">
        <v>0.026145</v>
      </c>
      <c r="P161" s="18" t="n">
        <v>0.026145</v>
      </c>
    </row>
    <row r="162" customFormat="false" ht="13.8" hidden="true" customHeight="false" outlineLevel="1" collapsed="false">
      <c r="B162" s="15" t="s">
        <v>25</v>
      </c>
      <c r="C162" s="26" t="n">
        <f aca="false">E161+1</f>
        <v>46508</v>
      </c>
      <c r="E162" s="26" t="n">
        <f aca="false">EOMONTH(C162,0)</f>
        <v>46538</v>
      </c>
      <c r="G162" s="15" t="s">
        <v>33</v>
      </c>
      <c r="H162" s="130"/>
      <c r="I162" s="89" t="n">
        <v>0.026145</v>
      </c>
      <c r="J162" s="89" t="n">
        <v>0.026145</v>
      </c>
      <c r="M162" s="15" t="s">
        <v>33</v>
      </c>
      <c r="N162" s="18" t="n">
        <v>0</v>
      </c>
      <c r="O162" s="18" t="n">
        <v>0.026145</v>
      </c>
      <c r="P162" s="18" t="n">
        <v>0.026145</v>
      </c>
    </row>
    <row r="163" customFormat="false" ht="13.8" hidden="true" customHeight="false" outlineLevel="1" collapsed="false">
      <c r="B163" s="15" t="s">
        <v>25</v>
      </c>
      <c r="C163" s="26" t="n">
        <f aca="false">E162+1</f>
        <v>46539</v>
      </c>
      <c r="E163" s="26" t="n">
        <f aca="false">EOMONTH(C163,0)</f>
        <v>46568</v>
      </c>
      <c r="G163" s="15" t="s">
        <v>33</v>
      </c>
      <c r="H163" s="130"/>
      <c r="I163" s="89" t="n">
        <v>0.026145</v>
      </c>
      <c r="J163" s="89" t="n">
        <v>0.026145</v>
      </c>
      <c r="M163" s="15" t="s">
        <v>33</v>
      </c>
      <c r="N163" s="18" t="n">
        <v>0</v>
      </c>
      <c r="O163" s="18" t="n">
        <v>0.026145</v>
      </c>
      <c r="P163" s="18" t="n">
        <v>0.026145</v>
      </c>
    </row>
    <row r="164" customFormat="false" ht="13.8" hidden="true" customHeight="false" outlineLevel="1" collapsed="false">
      <c r="B164" s="15" t="s">
        <v>25</v>
      </c>
      <c r="C164" s="26" t="n">
        <f aca="false">E163+1</f>
        <v>46569</v>
      </c>
      <c r="E164" s="26" t="n">
        <f aca="false">EOMONTH(C164,0)</f>
        <v>46599</v>
      </c>
      <c r="G164" s="15" t="s">
        <v>33</v>
      </c>
      <c r="H164" s="130"/>
      <c r="I164" s="89" t="n">
        <v>0.026145</v>
      </c>
      <c r="J164" s="89" t="n">
        <v>0.026145</v>
      </c>
      <c r="M164" s="15" t="s">
        <v>33</v>
      </c>
      <c r="N164" s="18" t="n">
        <v>0</v>
      </c>
      <c r="O164" s="18" t="n">
        <v>0.026145</v>
      </c>
      <c r="P164" s="18" t="n">
        <v>0.026145</v>
      </c>
    </row>
    <row r="165" customFormat="false" ht="13.8" hidden="true" customHeight="false" outlineLevel="1" collapsed="false">
      <c r="B165" s="15" t="s">
        <v>25</v>
      </c>
      <c r="C165" s="26" t="n">
        <f aca="false">E164+1</f>
        <v>46600</v>
      </c>
      <c r="E165" s="26" t="n">
        <f aca="false">EOMONTH(C165,0)</f>
        <v>46630</v>
      </c>
      <c r="G165" s="15" t="s">
        <v>33</v>
      </c>
      <c r="H165" s="130"/>
      <c r="I165" s="89" t="n">
        <v>0.026145</v>
      </c>
      <c r="J165" s="89" t="n">
        <v>0.026145</v>
      </c>
      <c r="M165" s="15" t="s">
        <v>33</v>
      </c>
      <c r="N165" s="18" t="n">
        <v>0</v>
      </c>
      <c r="O165" s="18" t="n">
        <v>0.026145</v>
      </c>
      <c r="P165" s="18" t="n">
        <v>0.026145</v>
      </c>
    </row>
    <row r="166" customFormat="false" ht="13.8" hidden="true" customHeight="false" outlineLevel="1" collapsed="false">
      <c r="B166" s="15" t="s">
        <v>25</v>
      </c>
      <c r="C166" s="26" t="n">
        <f aca="false">E165+1</f>
        <v>46631</v>
      </c>
      <c r="E166" s="26" t="n">
        <f aca="false">EOMONTH(C166,0)</f>
        <v>46660</v>
      </c>
      <c r="G166" s="15" t="s">
        <v>33</v>
      </c>
      <c r="H166" s="130"/>
      <c r="I166" s="89" t="n">
        <v>0.026145</v>
      </c>
      <c r="J166" s="89" t="n">
        <v>0.026145</v>
      </c>
      <c r="M166" s="15" t="s">
        <v>33</v>
      </c>
      <c r="N166" s="18" t="n">
        <v>0</v>
      </c>
      <c r="O166" s="18" t="n">
        <v>0.026145</v>
      </c>
      <c r="P166" s="18" t="n">
        <v>0.026145</v>
      </c>
    </row>
    <row r="167" customFormat="false" ht="13.8" hidden="true" customHeight="false" outlineLevel="1" collapsed="false">
      <c r="B167" s="15" t="s">
        <v>25</v>
      </c>
      <c r="C167" s="26" t="n">
        <f aca="false">E166+1</f>
        <v>46661</v>
      </c>
      <c r="E167" s="26" t="n">
        <f aca="false">EOMONTH(C167,0)</f>
        <v>46691</v>
      </c>
      <c r="G167" s="15" t="s">
        <v>33</v>
      </c>
      <c r="H167" s="130"/>
      <c r="I167" s="89" t="n">
        <v>0.026145</v>
      </c>
      <c r="J167" s="89" t="n">
        <v>0.026145</v>
      </c>
      <c r="M167" s="15" t="s">
        <v>33</v>
      </c>
      <c r="N167" s="18" t="n">
        <v>0</v>
      </c>
      <c r="O167" s="18" t="n">
        <v>0.026145</v>
      </c>
      <c r="P167" s="18" t="n">
        <v>0.026145</v>
      </c>
    </row>
    <row r="168" customFormat="false" ht="13.8" hidden="true" customHeight="false" outlineLevel="1" collapsed="false">
      <c r="B168" s="15" t="s">
        <v>25</v>
      </c>
      <c r="C168" s="26" t="n">
        <f aca="false">E167+1</f>
        <v>46692</v>
      </c>
      <c r="E168" s="26" t="n">
        <f aca="false">EOMONTH(C168,0)</f>
        <v>46721</v>
      </c>
      <c r="G168" s="15" t="s">
        <v>33</v>
      </c>
      <c r="H168" s="130"/>
      <c r="I168" s="89" t="n">
        <v>0.026145</v>
      </c>
      <c r="J168" s="89" t="n">
        <v>0.026145</v>
      </c>
      <c r="M168" s="15" t="s">
        <v>33</v>
      </c>
      <c r="N168" s="18" t="n">
        <v>0</v>
      </c>
      <c r="O168" s="18" t="n">
        <v>0.026145</v>
      </c>
      <c r="P168" s="18" t="n">
        <v>0.026145</v>
      </c>
    </row>
    <row r="169" customFormat="false" ht="13.8" hidden="true" customHeight="false" outlineLevel="1" collapsed="false">
      <c r="B169" s="15" t="s">
        <v>25</v>
      </c>
      <c r="C169" s="26" t="n">
        <f aca="false">E168+1</f>
        <v>46722</v>
      </c>
      <c r="E169" s="26" t="n">
        <f aca="false">EOMONTH(C169,0)</f>
        <v>46752</v>
      </c>
      <c r="G169" s="15" t="s">
        <v>33</v>
      </c>
      <c r="H169" s="130"/>
      <c r="I169" s="89" t="n">
        <v>0.026145</v>
      </c>
      <c r="J169" s="89" t="n">
        <v>0.026145</v>
      </c>
      <c r="M169" s="15" t="s">
        <v>33</v>
      </c>
      <c r="N169" s="18" t="n">
        <v>0</v>
      </c>
      <c r="O169" s="18" t="n">
        <v>0.026145</v>
      </c>
      <c r="P169" s="18" t="n">
        <v>0.026145</v>
      </c>
    </row>
    <row r="170" customFormat="false" ht="13.8" hidden="true" customHeight="false" outlineLevel="1" collapsed="false">
      <c r="B170" s="15" t="s">
        <v>25</v>
      </c>
      <c r="C170" s="26" t="n">
        <f aca="false">E169+1</f>
        <v>46753</v>
      </c>
      <c r="E170" s="26" t="n">
        <f aca="false">EOMONTH(C170,0)</f>
        <v>46783</v>
      </c>
      <c r="G170" s="15" t="s">
        <v>33</v>
      </c>
      <c r="H170" s="130"/>
      <c r="I170" s="89" t="n">
        <v>0.026145</v>
      </c>
      <c r="J170" s="89" t="n">
        <v>0.026145</v>
      </c>
      <c r="M170" s="15" t="s">
        <v>33</v>
      </c>
      <c r="N170" s="18" t="n">
        <v>0</v>
      </c>
      <c r="O170" s="18" t="n">
        <v>0.026145</v>
      </c>
      <c r="P170" s="18" t="n">
        <v>0.026145</v>
      </c>
    </row>
    <row r="171" customFormat="false" ht="13.8" hidden="true" customHeight="false" outlineLevel="1" collapsed="false">
      <c r="B171" s="15" t="s">
        <v>25</v>
      </c>
      <c r="C171" s="26" t="n">
        <f aca="false">E170+1</f>
        <v>46784</v>
      </c>
      <c r="E171" s="26" t="n">
        <f aca="false">EOMONTH(C171,0)</f>
        <v>46812</v>
      </c>
      <c r="G171" s="15" t="s">
        <v>33</v>
      </c>
      <c r="H171" s="130"/>
      <c r="I171" s="89" t="n">
        <v>0.026145</v>
      </c>
      <c r="J171" s="89" t="n">
        <v>0.026145</v>
      </c>
      <c r="M171" s="15" t="s">
        <v>33</v>
      </c>
      <c r="N171" s="18" t="n">
        <v>0</v>
      </c>
      <c r="O171" s="18" t="n">
        <v>0.026145</v>
      </c>
      <c r="P171" s="18" t="n">
        <v>0.026145</v>
      </c>
    </row>
    <row r="172" customFormat="false" ht="13.8" hidden="true" customHeight="false" outlineLevel="1" collapsed="false">
      <c r="B172" s="15" t="s">
        <v>25</v>
      </c>
      <c r="C172" s="26" t="n">
        <f aca="false">E171+1</f>
        <v>46813</v>
      </c>
      <c r="E172" s="26" t="n">
        <f aca="false">EOMONTH(C172,0)</f>
        <v>46843</v>
      </c>
      <c r="G172" s="15" t="s">
        <v>33</v>
      </c>
      <c r="H172" s="130"/>
      <c r="I172" s="89" t="n">
        <v>0.026145</v>
      </c>
      <c r="J172" s="89" t="n">
        <v>0.026145</v>
      </c>
      <c r="M172" s="15" t="s">
        <v>33</v>
      </c>
      <c r="N172" s="18" t="n">
        <v>0</v>
      </c>
      <c r="O172" s="18" t="n">
        <v>0.026145</v>
      </c>
      <c r="P172" s="18" t="n">
        <v>0.026145</v>
      </c>
    </row>
    <row r="173" customFormat="false" ht="13.8" hidden="true" customHeight="false" outlineLevel="1" collapsed="false">
      <c r="B173" s="15" t="s">
        <v>25</v>
      </c>
      <c r="C173" s="26" t="n">
        <f aca="false">E172+1</f>
        <v>46844</v>
      </c>
      <c r="E173" s="26" t="n">
        <f aca="false">EOMONTH(C173,0)</f>
        <v>46873</v>
      </c>
      <c r="G173" s="15" t="s">
        <v>33</v>
      </c>
      <c r="H173" s="130"/>
      <c r="I173" s="89" t="n">
        <v>0.026145</v>
      </c>
      <c r="J173" s="89" t="n">
        <v>0.026145</v>
      </c>
      <c r="M173" s="15" t="s">
        <v>33</v>
      </c>
      <c r="N173" s="18" t="n">
        <v>0</v>
      </c>
      <c r="O173" s="18" t="n">
        <v>0.026145</v>
      </c>
      <c r="P173" s="18" t="n">
        <v>0.026145</v>
      </c>
    </row>
    <row r="174" customFormat="false" ht="13.8" hidden="true" customHeight="false" outlineLevel="1" collapsed="false">
      <c r="B174" s="15" t="s">
        <v>25</v>
      </c>
      <c r="C174" s="26" t="n">
        <f aca="false">E173+1</f>
        <v>46874</v>
      </c>
      <c r="E174" s="26" t="n">
        <f aca="false">EOMONTH(C174,0)</f>
        <v>46904</v>
      </c>
      <c r="G174" s="15" t="s">
        <v>33</v>
      </c>
      <c r="H174" s="130"/>
      <c r="I174" s="89" t="n">
        <v>0.026145</v>
      </c>
      <c r="J174" s="89" t="n">
        <v>0.026145</v>
      </c>
      <c r="M174" s="15" t="s">
        <v>33</v>
      </c>
      <c r="N174" s="18" t="n">
        <v>0</v>
      </c>
      <c r="O174" s="18" t="n">
        <v>0.026145</v>
      </c>
      <c r="P174" s="18" t="n">
        <v>0.026145</v>
      </c>
    </row>
    <row r="175" customFormat="false" ht="13.8" hidden="true" customHeight="false" outlineLevel="1" collapsed="false">
      <c r="B175" s="15" t="s">
        <v>25</v>
      </c>
      <c r="C175" s="26" t="n">
        <f aca="false">E174+1</f>
        <v>46905</v>
      </c>
      <c r="E175" s="26" t="n">
        <f aca="false">EOMONTH(C175,0)</f>
        <v>46934</v>
      </c>
      <c r="G175" s="15" t="s">
        <v>33</v>
      </c>
      <c r="H175" s="130"/>
      <c r="I175" s="89" t="n">
        <v>0.026145</v>
      </c>
      <c r="J175" s="89" t="n">
        <v>0.026145</v>
      </c>
      <c r="M175" s="15" t="s">
        <v>33</v>
      </c>
      <c r="N175" s="18" t="n">
        <v>0</v>
      </c>
      <c r="O175" s="18" t="n">
        <v>0.026145</v>
      </c>
      <c r="P175" s="18" t="n">
        <v>0.026145</v>
      </c>
    </row>
    <row r="176" customFormat="false" ht="13.8" hidden="true" customHeight="false" outlineLevel="1" collapsed="false">
      <c r="B176" s="15" t="s">
        <v>25</v>
      </c>
      <c r="C176" s="26" t="n">
        <f aca="false">E175+1</f>
        <v>46935</v>
      </c>
      <c r="E176" s="26" t="n">
        <f aca="false">EOMONTH(C176,0)</f>
        <v>46965</v>
      </c>
      <c r="G176" s="15" t="s">
        <v>33</v>
      </c>
      <c r="H176" s="130"/>
      <c r="I176" s="89" t="n">
        <v>0.026145</v>
      </c>
      <c r="J176" s="89" t="n">
        <v>0.026145</v>
      </c>
      <c r="M176" s="15" t="s">
        <v>33</v>
      </c>
      <c r="N176" s="18" t="n">
        <v>0</v>
      </c>
      <c r="O176" s="18" t="n">
        <v>0.026145</v>
      </c>
      <c r="P176" s="18" t="n">
        <v>0.026145</v>
      </c>
    </row>
    <row r="177" customFormat="false" ht="13.8" hidden="true" customHeight="false" outlineLevel="1" collapsed="false">
      <c r="B177" s="15" t="s">
        <v>25</v>
      </c>
      <c r="C177" s="26" t="n">
        <f aca="false">E176+1</f>
        <v>46966</v>
      </c>
      <c r="E177" s="26" t="n">
        <f aca="false">EOMONTH(C177,0)</f>
        <v>46996</v>
      </c>
      <c r="G177" s="15" t="s">
        <v>33</v>
      </c>
      <c r="H177" s="130"/>
      <c r="I177" s="89" t="n">
        <v>0.026145</v>
      </c>
      <c r="J177" s="89" t="n">
        <v>0.026145</v>
      </c>
      <c r="M177" s="15" t="s">
        <v>33</v>
      </c>
      <c r="N177" s="18" t="n">
        <v>0</v>
      </c>
      <c r="O177" s="18" t="n">
        <v>0.026145</v>
      </c>
      <c r="P177" s="18" t="n">
        <v>0.026145</v>
      </c>
    </row>
    <row r="178" customFormat="false" ht="13.8" hidden="true" customHeight="false" outlineLevel="1" collapsed="false">
      <c r="B178" s="15" t="s">
        <v>25</v>
      </c>
      <c r="C178" s="26" t="n">
        <f aca="false">E177+1</f>
        <v>46997</v>
      </c>
      <c r="E178" s="26" t="n">
        <f aca="false">EOMONTH(C178,0)</f>
        <v>47026</v>
      </c>
      <c r="G178" s="15" t="s">
        <v>33</v>
      </c>
      <c r="H178" s="130"/>
      <c r="I178" s="89" t="n">
        <v>0.026145</v>
      </c>
      <c r="J178" s="89" t="n">
        <v>0.026145</v>
      </c>
      <c r="M178" s="15" t="s">
        <v>33</v>
      </c>
      <c r="N178" s="18" t="n">
        <v>0</v>
      </c>
      <c r="O178" s="18" t="n">
        <v>0.026145</v>
      </c>
      <c r="P178" s="18" t="n">
        <v>0.026145</v>
      </c>
    </row>
    <row r="179" customFormat="false" ht="13.8" hidden="true" customHeight="false" outlineLevel="1" collapsed="false">
      <c r="B179" s="15" t="s">
        <v>25</v>
      </c>
      <c r="C179" s="26" t="n">
        <f aca="false">E178+1</f>
        <v>47027</v>
      </c>
      <c r="E179" s="26" t="n">
        <f aca="false">EOMONTH(C179,0)</f>
        <v>47057</v>
      </c>
      <c r="G179" s="15" t="s">
        <v>33</v>
      </c>
      <c r="H179" s="130"/>
      <c r="I179" s="89" t="n">
        <v>0.026145</v>
      </c>
      <c r="J179" s="89" t="n">
        <v>0.026145</v>
      </c>
      <c r="M179" s="15" t="s">
        <v>33</v>
      </c>
      <c r="N179" s="18" t="n">
        <v>0</v>
      </c>
      <c r="O179" s="18" t="n">
        <v>0.026145</v>
      </c>
      <c r="P179" s="18" t="n">
        <v>0.026145</v>
      </c>
    </row>
    <row r="180" customFormat="false" ht="13.8" hidden="true" customHeight="false" outlineLevel="1" collapsed="false">
      <c r="B180" s="15" t="s">
        <v>25</v>
      </c>
      <c r="C180" s="26" t="n">
        <f aca="false">E179+1</f>
        <v>47058</v>
      </c>
      <c r="E180" s="26" t="n">
        <f aca="false">EOMONTH(C180,0)</f>
        <v>47087</v>
      </c>
      <c r="G180" s="15" t="s">
        <v>33</v>
      </c>
      <c r="H180" s="130"/>
      <c r="I180" s="89" t="n">
        <v>0.026145</v>
      </c>
      <c r="J180" s="89" t="n">
        <v>0.026145</v>
      </c>
      <c r="M180" s="15" t="s">
        <v>33</v>
      </c>
      <c r="N180" s="18" t="n">
        <v>0</v>
      </c>
      <c r="O180" s="18" t="n">
        <v>0.026145</v>
      </c>
      <c r="P180" s="18" t="n">
        <v>0.026145</v>
      </c>
    </row>
    <row r="181" customFormat="false" ht="13.8" hidden="true" customHeight="false" outlineLevel="1" collapsed="false">
      <c r="B181" s="15" t="s">
        <v>25</v>
      </c>
      <c r="C181" s="26" t="n">
        <f aca="false">E180+1</f>
        <v>47088</v>
      </c>
      <c r="E181" s="26" t="n">
        <f aca="false">EOMONTH(C181,0)</f>
        <v>47118</v>
      </c>
      <c r="G181" s="15" t="s">
        <v>33</v>
      </c>
      <c r="H181" s="130"/>
      <c r="I181" s="89" t="n">
        <v>0.026145</v>
      </c>
      <c r="J181" s="89" t="n">
        <v>0.026145</v>
      </c>
      <c r="M181" s="15" t="s">
        <v>33</v>
      </c>
      <c r="N181" s="18" t="n">
        <v>0</v>
      </c>
      <c r="O181" s="18" t="n">
        <v>0.026145</v>
      </c>
      <c r="P181" s="18" t="n">
        <v>0.026145</v>
      </c>
    </row>
    <row r="182" customFormat="false" ht="13.8" hidden="true" customHeight="false" outlineLevel="1" collapsed="false">
      <c r="B182" s="15" t="s">
        <v>25</v>
      </c>
      <c r="C182" s="26" t="n">
        <f aca="false">E181+1</f>
        <v>47119</v>
      </c>
      <c r="E182" s="26" t="n">
        <f aca="false">EOMONTH(C182,0)</f>
        <v>47149</v>
      </c>
      <c r="G182" s="15" t="s">
        <v>33</v>
      </c>
      <c r="H182" s="130"/>
      <c r="I182" s="89" t="n">
        <v>0.026145</v>
      </c>
      <c r="J182" s="89" t="n">
        <v>0.026145</v>
      </c>
      <c r="M182" s="15" t="s">
        <v>33</v>
      </c>
      <c r="N182" s="18" t="n">
        <v>0</v>
      </c>
      <c r="O182" s="18" t="n">
        <v>0.026145</v>
      </c>
      <c r="P182" s="18" t="n">
        <v>0.026145</v>
      </c>
    </row>
    <row r="183" customFormat="false" ht="13.8" hidden="true" customHeight="false" outlineLevel="1" collapsed="false">
      <c r="B183" s="15" t="s">
        <v>25</v>
      </c>
      <c r="C183" s="26" t="n">
        <f aca="false">E182+1</f>
        <v>47150</v>
      </c>
      <c r="E183" s="26" t="n">
        <f aca="false">EOMONTH(C183,0)</f>
        <v>47177</v>
      </c>
      <c r="G183" s="15" t="s">
        <v>33</v>
      </c>
      <c r="H183" s="130"/>
      <c r="I183" s="89" t="n">
        <v>0.026145</v>
      </c>
      <c r="J183" s="89" t="n">
        <v>0.026145</v>
      </c>
      <c r="M183" s="15" t="s">
        <v>33</v>
      </c>
      <c r="N183" s="18" t="n">
        <v>0</v>
      </c>
      <c r="O183" s="18" t="n">
        <v>0.026145</v>
      </c>
      <c r="P183" s="18" t="n">
        <v>0.026145</v>
      </c>
    </row>
    <row r="184" customFormat="false" ht="13.8" hidden="true" customHeight="false" outlineLevel="1" collapsed="false">
      <c r="B184" s="15" t="s">
        <v>25</v>
      </c>
      <c r="C184" s="26" t="n">
        <f aca="false">E183+1</f>
        <v>47178</v>
      </c>
      <c r="E184" s="26" t="n">
        <f aca="false">EOMONTH(C184,0)</f>
        <v>47208</v>
      </c>
      <c r="G184" s="15" t="s">
        <v>33</v>
      </c>
      <c r="H184" s="130"/>
      <c r="I184" s="89" t="n">
        <v>0.026145</v>
      </c>
      <c r="J184" s="89" t="n">
        <v>0.026145</v>
      </c>
      <c r="M184" s="15" t="s">
        <v>33</v>
      </c>
      <c r="N184" s="18" t="n">
        <v>0</v>
      </c>
      <c r="O184" s="18" t="n">
        <v>0.026145</v>
      </c>
      <c r="P184" s="18" t="n">
        <v>0.026145</v>
      </c>
    </row>
    <row r="185" customFormat="false" ht="13.8" hidden="true" customHeight="false" outlineLevel="1" collapsed="false">
      <c r="B185" s="15" t="s">
        <v>25</v>
      </c>
      <c r="C185" s="26" t="n">
        <f aca="false">E184+1</f>
        <v>47209</v>
      </c>
      <c r="E185" s="26" t="n">
        <f aca="false">EOMONTH(C185,0)</f>
        <v>47238</v>
      </c>
      <c r="G185" s="15" t="s">
        <v>33</v>
      </c>
      <c r="H185" s="130"/>
      <c r="I185" s="89" t="n">
        <v>0.026145</v>
      </c>
      <c r="J185" s="89" t="n">
        <v>0.026145</v>
      </c>
      <c r="M185" s="15" t="s">
        <v>33</v>
      </c>
      <c r="N185" s="18" t="n">
        <v>0</v>
      </c>
      <c r="O185" s="18" t="n">
        <v>0.026145</v>
      </c>
      <c r="P185" s="18" t="n">
        <v>0.026145</v>
      </c>
    </row>
    <row r="186" customFormat="false" ht="13.8" hidden="true" customHeight="false" outlineLevel="1" collapsed="false">
      <c r="B186" s="15" t="s">
        <v>25</v>
      </c>
      <c r="C186" s="26" t="n">
        <f aca="false">E185+1</f>
        <v>47239</v>
      </c>
      <c r="E186" s="26" t="n">
        <f aca="false">EOMONTH(C186,0)</f>
        <v>47269</v>
      </c>
      <c r="G186" s="15" t="s">
        <v>33</v>
      </c>
      <c r="H186" s="130"/>
      <c r="I186" s="89" t="n">
        <v>0.026145</v>
      </c>
      <c r="J186" s="89" t="n">
        <v>0.026145</v>
      </c>
      <c r="M186" s="15" t="s">
        <v>33</v>
      </c>
      <c r="N186" s="18" t="n">
        <v>0</v>
      </c>
      <c r="O186" s="18" t="n">
        <v>0.026145</v>
      </c>
      <c r="P186" s="18" t="n">
        <v>0.026145</v>
      </c>
    </row>
    <row r="187" customFormat="false" ht="13.8" hidden="true" customHeight="false" outlineLevel="1" collapsed="false">
      <c r="B187" s="15" t="s">
        <v>25</v>
      </c>
      <c r="C187" s="26" t="n">
        <f aca="false">E186+1</f>
        <v>47270</v>
      </c>
      <c r="E187" s="26" t="n">
        <f aca="false">EOMONTH(C187,0)</f>
        <v>47299</v>
      </c>
      <c r="G187" s="15" t="s">
        <v>33</v>
      </c>
      <c r="H187" s="130"/>
      <c r="I187" s="89" t="n">
        <v>0.026145</v>
      </c>
      <c r="J187" s="89" t="n">
        <v>0.026145</v>
      </c>
      <c r="M187" s="15" t="s">
        <v>33</v>
      </c>
      <c r="N187" s="18" t="n">
        <v>0</v>
      </c>
      <c r="O187" s="18" t="n">
        <v>0.026145</v>
      </c>
      <c r="P187" s="18" t="n">
        <v>0.026145</v>
      </c>
    </row>
    <row r="188" customFormat="false" ht="13.8" hidden="true" customHeight="false" outlineLevel="1" collapsed="false">
      <c r="B188" s="15" t="s">
        <v>25</v>
      </c>
      <c r="C188" s="26" t="n">
        <f aca="false">E187+1</f>
        <v>47300</v>
      </c>
      <c r="E188" s="26" t="n">
        <f aca="false">EOMONTH(C188,0)</f>
        <v>47330</v>
      </c>
      <c r="G188" s="15" t="s">
        <v>33</v>
      </c>
      <c r="H188" s="130"/>
      <c r="I188" s="89" t="n">
        <v>0.026145</v>
      </c>
      <c r="J188" s="89" t="n">
        <v>0.026145</v>
      </c>
      <c r="M188" s="15" t="s">
        <v>33</v>
      </c>
      <c r="N188" s="18" t="n">
        <v>0</v>
      </c>
      <c r="O188" s="18" t="n">
        <v>0.026145</v>
      </c>
      <c r="P188" s="18" t="n">
        <v>0.026145</v>
      </c>
    </row>
    <row r="189" customFormat="false" ht="13.8" hidden="true" customHeight="false" outlineLevel="1" collapsed="false">
      <c r="B189" s="15" t="s">
        <v>25</v>
      </c>
      <c r="C189" s="26" t="n">
        <f aca="false">E188+1</f>
        <v>47331</v>
      </c>
      <c r="E189" s="26" t="n">
        <f aca="false">EOMONTH(C189,0)</f>
        <v>47361</v>
      </c>
      <c r="G189" s="15" t="s">
        <v>33</v>
      </c>
      <c r="H189" s="130"/>
      <c r="I189" s="89" t="n">
        <v>0.026145</v>
      </c>
      <c r="J189" s="89" t="n">
        <v>0.026145</v>
      </c>
      <c r="M189" s="15" t="s">
        <v>33</v>
      </c>
      <c r="N189" s="18" t="n">
        <v>0</v>
      </c>
      <c r="O189" s="18" t="n">
        <v>0.026145</v>
      </c>
      <c r="P189" s="18" t="n">
        <v>0.026145</v>
      </c>
    </row>
    <row r="190" customFormat="false" ht="13.8" hidden="true" customHeight="false" outlineLevel="1" collapsed="false">
      <c r="B190" s="15" t="s">
        <v>25</v>
      </c>
      <c r="C190" s="26" t="n">
        <f aca="false">E189+1</f>
        <v>47362</v>
      </c>
      <c r="E190" s="26" t="n">
        <f aca="false">EOMONTH(C190,0)</f>
        <v>47391</v>
      </c>
      <c r="G190" s="15" t="s">
        <v>33</v>
      </c>
      <c r="H190" s="130"/>
      <c r="I190" s="89" t="n">
        <v>0.026145</v>
      </c>
      <c r="J190" s="89" t="n">
        <v>0.026145</v>
      </c>
      <c r="M190" s="15" t="s">
        <v>33</v>
      </c>
      <c r="N190" s="18" t="n">
        <v>0</v>
      </c>
      <c r="O190" s="18" t="n">
        <v>0.026145</v>
      </c>
      <c r="P190" s="18" t="n">
        <v>0.026145</v>
      </c>
    </row>
    <row r="191" customFormat="false" ht="13.8" hidden="true" customHeight="false" outlineLevel="1" collapsed="false">
      <c r="B191" s="15" t="s">
        <v>25</v>
      </c>
      <c r="C191" s="26" t="n">
        <f aca="false">E190+1</f>
        <v>47392</v>
      </c>
      <c r="E191" s="26" t="n">
        <f aca="false">EOMONTH(C191,0)</f>
        <v>47422</v>
      </c>
      <c r="G191" s="15" t="s">
        <v>33</v>
      </c>
      <c r="H191" s="130"/>
      <c r="I191" s="89" t="n">
        <v>0.026145</v>
      </c>
      <c r="J191" s="89" t="n">
        <v>0.026145</v>
      </c>
      <c r="M191" s="15" t="s">
        <v>33</v>
      </c>
      <c r="N191" s="18" t="n">
        <v>0</v>
      </c>
      <c r="O191" s="18" t="n">
        <v>0.026145</v>
      </c>
      <c r="P191" s="18" t="n">
        <v>0.026145</v>
      </c>
    </row>
    <row r="192" customFormat="false" ht="13.8" hidden="true" customHeight="false" outlineLevel="1" collapsed="false">
      <c r="B192" s="15" t="s">
        <v>25</v>
      </c>
      <c r="C192" s="26" t="n">
        <f aca="false">E191+1</f>
        <v>47423</v>
      </c>
      <c r="E192" s="26" t="n">
        <f aca="false">EOMONTH(C192,0)</f>
        <v>47452</v>
      </c>
      <c r="G192" s="15" t="s">
        <v>33</v>
      </c>
      <c r="H192" s="130"/>
      <c r="I192" s="89" t="n">
        <v>0.026145</v>
      </c>
      <c r="J192" s="89" t="n">
        <v>0.026145</v>
      </c>
      <c r="M192" s="15" t="s">
        <v>33</v>
      </c>
      <c r="N192" s="18" t="n">
        <v>0</v>
      </c>
      <c r="O192" s="18" t="n">
        <v>0.026145</v>
      </c>
      <c r="P192" s="18" t="n">
        <v>0.026145</v>
      </c>
    </row>
    <row r="193" customFormat="false" ht="13.8" hidden="true" customHeight="false" outlineLevel="1" collapsed="false">
      <c r="B193" s="15" t="s">
        <v>25</v>
      </c>
      <c r="C193" s="26" t="n">
        <f aca="false">E192+1</f>
        <v>47453</v>
      </c>
      <c r="E193" s="26" t="n">
        <f aca="false">EOMONTH(C193,0)</f>
        <v>47483</v>
      </c>
      <c r="G193" s="15" t="s">
        <v>33</v>
      </c>
      <c r="H193" s="130"/>
      <c r="I193" s="89" t="n">
        <v>0.026145</v>
      </c>
      <c r="J193" s="89" t="n">
        <v>0.026145</v>
      </c>
      <c r="M193" s="15" t="s">
        <v>33</v>
      </c>
      <c r="N193" s="18" t="n">
        <v>0</v>
      </c>
      <c r="O193" s="18" t="n">
        <v>0.026145</v>
      </c>
      <c r="P193" s="18" t="n">
        <v>0.026145</v>
      </c>
    </row>
    <row r="194" customFormat="false" ht="13.8" hidden="true" customHeight="false" outlineLevel="1" collapsed="false">
      <c r="B194" s="15" t="s">
        <v>25</v>
      </c>
      <c r="C194" s="26" t="n">
        <f aca="false">E193+1</f>
        <v>47484</v>
      </c>
      <c r="E194" s="26" t="n">
        <f aca="false">EOMONTH(C194,0)</f>
        <v>47514</v>
      </c>
      <c r="G194" s="15" t="s">
        <v>33</v>
      </c>
      <c r="H194" s="130"/>
      <c r="I194" s="89" t="n">
        <v>0.026145</v>
      </c>
      <c r="J194" s="89" t="n">
        <v>0.026145</v>
      </c>
      <c r="M194" s="15" t="s">
        <v>33</v>
      </c>
      <c r="N194" s="18" t="n">
        <v>0</v>
      </c>
      <c r="O194" s="18" t="n">
        <v>0.026145</v>
      </c>
      <c r="P194" s="18" t="n">
        <v>0.026145</v>
      </c>
    </row>
    <row r="195" customFormat="false" ht="13.8" hidden="true" customHeight="false" outlineLevel="1" collapsed="false">
      <c r="B195" s="15" t="s">
        <v>25</v>
      </c>
      <c r="C195" s="26" t="n">
        <f aca="false">E194+1</f>
        <v>47515</v>
      </c>
      <c r="E195" s="26" t="n">
        <f aca="false">EOMONTH(C195,0)</f>
        <v>47542</v>
      </c>
      <c r="G195" s="15" t="s">
        <v>33</v>
      </c>
      <c r="H195" s="130"/>
      <c r="I195" s="89" t="n">
        <v>0.026145</v>
      </c>
      <c r="J195" s="89" t="n">
        <v>0.026145</v>
      </c>
      <c r="M195" s="15" t="s">
        <v>33</v>
      </c>
      <c r="N195" s="18" t="n">
        <v>0</v>
      </c>
      <c r="O195" s="18" t="n">
        <v>0.026145</v>
      </c>
      <c r="P195" s="18" t="n">
        <v>0.026145</v>
      </c>
    </row>
    <row r="196" customFormat="false" ht="13.8" hidden="true" customHeight="false" outlineLevel="1" collapsed="false">
      <c r="B196" s="15" t="s">
        <v>25</v>
      </c>
      <c r="C196" s="26" t="n">
        <f aca="false">E195+1</f>
        <v>47543</v>
      </c>
      <c r="E196" s="26" t="n">
        <f aca="false">EOMONTH(C196,0)</f>
        <v>47573</v>
      </c>
      <c r="G196" s="15" t="s">
        <v>33</v>
      </c>
      <c r="H196" s="130"/>
      <c r="I196" s="89" t="n">
        <v>0.026145</v>
      </c>
      <c r="J196" s="89" t="n">
        <v>0.026145</v>
      </c>
      <c r="M196" s="15" t="s">
        <v>33</v>
      </c>
      <c r="N196" s="18" t="n">
        <v>0</v>
      </c>
      <c r="O196" s="18" t="n">
        <v>0.026145</v>
      </c>
      <c r="P196" s="18" t="n">
        <v>0.026145</v>
      </c>
    </row>
    <row r="197" customFormat="false" ht="13.8" hidden="true" customHeight="false" outlineLevel="1" collapsed="false">
      <c r="B197" s="15" t="s">
        <v>25</v>
      </c>
      <c r="C197" s="26" t="n">
        <f aca="false">E196+1</f>
        <v>47574</v>
      </c>
      <c r="E197" s="26" t="n">
        <f aca="false">EOMONTH(C197,0)</f>
        <v>47603</v>
      </c>
      <c r="G197" s="15" t="s">
        <v>33</v>
      </c>
      <c r="H197" s="130"/>
      <c r="I197" s="89" t="n">
        <v>0.026145</v>
      </c>
      <c r="J197" s="89" t="n">
        <v>0.026145</v>
      </c>
      <c r="M197" s="15" t="s">
        <v>33</v>
      </c>
      <c r="N197" s="18" t="n">
        <v>0</v>
      </c>
      <c r="O197" s="18" t="n">
        <v>0.026145</v>
      </c>
      <c r="P197" s="18" t="n">
        <v>0.026145</v>
      </c>
    </row>
    <row r="198" customFormat="false" ht="13.8" hidden="true" customHeight="false" outlineLevel="1" collapsed="false">
      <c r="B198" s="15" t="s">
        <v>25</v>
      </c>
      <c r="C198" s="26" t="n">
        <f aca="false">E197+1</f>
        <v>47604</v>
      </c>
      <c r="E198" s="26" t="n">
        <f aca="false">EOMONTH(C198,0)</f>
        <v>47634</v>
      </c>
      <c r="G198" s="15" t="s">
        <v>33</v>
      </c>
      <c r="H198" s="130"/>
      <c r="I198" s="89" t="n">
        <v>0.026145</v>
      </c>
      <c r="J198" s="89" t="n">
        <v>0.026145</v>
      </c>
      <c r="M198" s="15" t="s">
        <v>33</v>
      </c>
      <c r="N198" s="18" t="n">
        <v>0</v>
      </c>
      <c r="O198" s="18" t="n">
        <v>0.026145</v>
      </c>
      <c r="P198" s="18" t="n">
        <v>0.026145</v>
      </c>
    </row>
    <row r="199" customFormat="false" ht="13.8" hidden="true" customHeight="false" outlineLevel="1" collapsed="false">
      <c r="B199" s="15" t="s">
        <v>25</v>
      </c>
      <c r="C199" s="26" t="n">
        <f aca="false">E198+1</f>
        <v>47635</v>
      </c>
      <c r="E199" s="26" t="n">
        <f aca="false">EOMONTH(C199,0)</f>
        <v>47664</v>
      </c>
      <c r="G199" s="15" t="s">
        <v>33</v>
      </c>
      <c r="H199" s="130"/>
      <c r="I199" s="89" t="n">
        <v>0.026145</v>
      </c>
      <c r="J199" s="89" t="n">
        <v>0.026145</v>
      </c>
      <c r="M199" s="15" t="s">
        <v>33</v>
      </c>
      <c r="N199" s="18" t="n">
        <v>0</v>
      </c>
      <c r="O199" s="18" t="n">
        <v>0.026145</v>
      </c>
      <c r="P199" s="18" t="n">
        <v>0.026145</v>
      </c>
    </row>
    <row r="200" customFormat="false" ht="13.8" hidden="true" customHeight="false" outlineLevel="1" collapsed="false">
      <c r="B200" s="15" t="s">
        <v>25</v>
      </c>
      <c r="C200" s="26" t="n">
        <f aca="false">E199+1</f>
        <v>47665</v>
      </c>
      <c r="E200" s="26" t="n">
        <f aca="false">EOMONTH(C200,0)</f>
        <v>47695</v>
      </c>
      <c r="G200" s="15" t="s">
        <v>33</v>
      </c>
      <c r="H200" s="130"/>
      <c r="I200" s="89" t="n">
        <v>0.026145</v>
      </c>
      <c r="J200" s="89" t="n">
        <v>0.026145</v>
      </c>
      <c r="M200" s="15" t="s">
        <v>33</v>
      </c>
      <c r="N200" s="18" t="n">
        <v>0</v>
      </c>
      <c r="O200" s="18" t="n">
        <v>0.026145</v>
      </c>
      <c r="P200" s="18" t="n">
        <v>0.026145</v>
      </c>
    </row>
    <row r="201" customFormat="false" ht="13.8" hidden="true" customHeight="false" outlineLevel="1" collapsed="false">
      <c r="B201" s="15" t="s">
        <v>25</v>
      </c>
      <c r="C201" s="26" t="n">
        <f aca="false">E200+1</f>
        <v>47696</v>
      </c>
      <c r="E201" s="26" t="n">
        <f aca="false">EOMONTH(C201,0)</f>
        <v>47726</v>
      </c>
      <c r="G201" s="15" t="s">
        <v>33</v>
      </c>
      <c r="H201" s="130"/>
      <c r="I201" s="89" t="n">
        <v>0.026145</v>
      </c>
      <c r="J201" s="89" t="n">
        <v>0.026145</v>
      </c>
      <c r="M201" s="15" t="s">
        <v>33</v>
      </c>
      <c r="N201" s="18" t="n">
        <v>0</v>
      </c>
      <c r="O201" s="18" t="n">
        <v>0.026145</v>
      </c>
      <c r="P201" s="18" t="n">
        <v>0.026145</v>
      </c>
    </row>
    <row r="202" customFormat="false" ht="13.8" hidden="true" customHeight="false" outlineLevel="1" collapsed="false">
      <c r="B202" s="15" t="s">
        <v>25</v>
      </c>
      <c r="C202" s="26" t="n">
        <f aca="false">E201+1</f>
        <v>47727</v>
      </c>
      <c r="E202" s="26" t="n">
        <f aca="false">EOMONTH(C202,0)</f>
        <v>47756</v>
      </c>
      <c r="G202" s="15" t="s">
        <v>33</v>
      </c>
      <c r="H202" s="130"/>
      <c r="I202" s="89" t="n">
        <v>0.026145</v>
      </c>
      <c r="J202" s="89" t="n">
        <v>0.026145</v>
      </c>
      <c r="M202" s="15" t="s">
        <v>33</v>
      </c>
      <c r="N202" s="18" t="n">
        <v>0</v>
      </c>
      <c r="O202" s="18" t="n">
        <v>0.026145</v>
      </c>
      <c r="P202" s="18" t="n">
        <v>0.026145</v>
      </c>
    </row>
    <row r="203" customFormat="false" ht="13.8" hidden="true" customHeight="false" outlineLevel="1" collapsed="false">
      <c r="B203" s="15" t="s">
        <v>25</v>
      </c>
      <c r="C203" s="26" t="n">
        <f aca="false">E202+1</f>
        <v>47757</v>
      </c>
      <c r="E203" s="26" t="n">
        <f aca="false">EOMONTH(C203,0)</f>
        <v>47787</v>
      </c>
      <c r="G203" s="15" t="s">
        <v>33</v>
      </c>
      <c r="H203" s="130"/>
      <c r="I203" s="89" t="n">
        <v>0.026145</v>
      </c>
      <c r="J203" s="89" t="n">
        <v>0.026145</v>
      </c>
      <c r="M203" s="15" t="s">
        <v>33</v>
      </c>
      <c r="N203" s="18" t="n">
        <v>0</v>
      </c>
      <c r="O203" s="18" t="n">
        <v>0.026145</v>
      </c>
      <c r="P203" s="18" t="n">
        <v>0.026145</v>
      </c>
    </row>
    <row r="204" customFormat="false" ht="13.8" hidden="true" customHeight="false" outlineLevel="1" collapsed="false">
      <c r="B204" s="15" t="s">
        <v>25</v>
      </c>
      <c r="C204" s="26" t="n">
        <f aca="false">E203+1</f>
        <v>47788</v>
      </c>
      <c r="E204" s="26" t="n">
        <f aca="false">EOMONTH(C204,0)</f>
        <v>47817</v>
      </c>
      <c r="G204" s="15" t="s">
        <v>33</v>
      </c>
      <c r="H204" s="130"/>
      <c r="I204" s="89" t="n">
        <v>0.026145</v>
      </c>
      <c r="J204" s="89" t="n">
        <v>0.026145</v>
      </c>
      <c r="M204" s="15" t="s">
        <v>33</v>
      </c>
      <c r="N204" s="18" t="n">
        <v>0</v>
      </c>
      <c r="O204" s="18" t="n">
        <v>0.026145</v>
      </c>
      <c r="P204" s="18" t="n">
        <v>0.026145</v>
      </c>
    </row>
    <row r="205" customFormat="false" ht="13.8" hidden="true" customHeight="false" outlineLevel="1" collapsed="false">
      <c r="B205" s="15" t="s">
        <v>25</v>
      </c>
      <c r="C205" s="26" t="n">
        <f aca="false">E204+1</f>
        <v>47818</v>
      </c>
      <c r="E205" s="26" t="n">
        <f aca="false">EOMONTH(C205,0)</f>
        <v>47848</v>
      </c>
      <c r="G205" s="15" t="s">
        <v>33</v>
      </c>
      <c r="H205" s="130"/>
      <c r="I205" s="89" t="n">
        <v>0.026145</v>
      </c>
      <c r="J205" s="89" t="n">
        <v>0.026145</v>
      </c>
      <c r="M205" s="15" t="s">
        <v>33</v>
      </c>
      <c r="N205" s="18" t="n">
        <v>0</v>
      </c>
      <c r="O205" s="18" t="n">
        <v>0.026145</v>
      </c>
      <c r="P205" s="18" t="n">
        <v>0.026145</v>
      </c>
    </row>
    <row r="206" customFormat="false" ht="13.8" hidden="true" customHeight="false" outlineLevel="1" collapsed="false">
      <c r="B206" s="15" t="s">
        <v>25</v>
      </c>
      <c r="C206" s="26" t="n">
        <f aca="false">E205+1</f>
        <v>47849</v>
      </c>
      <c r="E206" s="26" t="n">
        <f aca="false">EOMONTH(C206,0)</f>
        <v>47879</v>
      </c>
      <c r="G206" s="15" t="s">
        <v>33</v>
      </c>
      <c r="H206" s="130"/>
      <c r="I206" s="89" t="n">
        <v>0.026145</v>
      </c>
      <c r="J206" s="89" t="n">
        <v>0.026145</v>
      </c>
      <c r="M206" s="15" t="s">
        <v>33</v>
      </c>
      <c r="N206" s="18" t="n">
        <v>0</v>
      </c>
      <c r="O206" s="18" t="n">
        <v>0.026145</v>
      </c>
      <c r="P206" s="18" t="n">
        <v>0.026145</v>
      </c>
    </row>
    <row r="207" customFormat="false" ht="13.8" hidden="true" customHeight="false" outlineLevel="1" collapsed="false">
      <c r="B207" s="15" t="s">
        <v>25</v>
      </c>
      <c r="C207" s="26" t="n">
        <f aca="false">E206+1</f>
        <v>47880</v>
      </c>
      <c r="E207" s="26" t="n">
        <f aca="false">EOMONTH(C207,0)</f>
        <v>47907</v>
      </c>
      <c r="G207" s="15" t="s">
        <v>33</v>
      </c>
      <c r="H207" s="130"/>
      <c r="I207" s="89" t="n">
        <v>0.026145</v>
      </c>
      <c r="J207" s="89" t="n">
        <v>0.026145</v>
      </c>
      <c r="M207" s="15" t="s">
        <v>33</v>
      </c>
      <c r="N207" s="18" t="n">
        <v>0</v>
      </c>
      <c r="O207" s="18" t="n">
        <v>0.026145</v>
      </c>
      <c r="P207" s="18" t="n">
        <v>0.026145</v>
      </c>
    </row>
    <row r="208" customFormat="false" ht="13.8" hidden="true" customHeight="false" outlineLevel="1" collapsed="false">
      <c r="B208" s="15" t="s">
        <v>25</v>
      </c>
      <c r="C208" s="26" t="n">
        <f aca="false">E207+1</f>
        <v>47908</v>
      </c>
      <c r="E208" s="26" t="n">
        <f aca="false">EOMONTH(C208,0)</f>
        <v>47938</v>
      </c>
      <c r="G208" s="15" t="s">
        <v>33</v>
      </c>
      <c r="H208" s="130"/>
      <c r="I208" s="89" t="n">
        <v>0.026145</v>
      </c>
      <c r="J208" s="89" t="n">
        <v>0.026145</v>
      </c>
      <c r="M208" s="15" t="s">
        <v>33</v>
      </c>
      <c r="N208" s="18" t="n">
        <v>0</v>
      </c>
      <c r="O208" s="18" t="n">
        <v>0.026145</v>
      </c>
      <c r="P208" s="18" t="n">
        <v>0.026145</v>
      </c>
    </row>
    <row r="209" customFormat="false" ht="13.8" hidden="true" customHeight="false" outlineLevel="1" collapsed="false">
      <c r="B209" s="15" t="s">
        <v>25</v>
      </c>
      <c r="C209" s="26" t="n">
        <f aca="false">E208+1</f>
        <v>47939</v>
      </c>
      <c r="E209" s="26" t="n">
        <f aca="false">EOMONTH(C209,0)</f>
        <v>47968</v>
      </c>
      <c r="G209" s="15" t="s">
        <v>33</v>
      </c>
      <c r="H209" s="130"/>
      <c r="I209" s="89" t="n">
        <v>0.026145</v>
      </c>
      <c r="J209" s="89" t="n">
        <v>0.026145</v>
      </c>
      <c r="M209" s="15" t="s">
        <v>33</v>
      </c>
      <c r="N209" s="18" t="n">
        <v>0</v>
      </c>
      <c r="O209" s="18" t="n">
        <v>0.026145</v>
      </c>
      <c r="P209" s="18" t="n">
        <v>0.026145</v>
      </c>
    </row>
    <row r="210" customFormat="false" ht="13.8" hidden="true" customHeight="false" outlineLevel="1" collapsed="false">
      <c r="B210" s="15" t="s">
        <v>25</v>
      </c>
      <c r="C210" s="26" t="n">
        <f aca="false">E209+1</f>
        <v>47969</v>
      </c>
      <c r="E210" s="26" t="n">
        <f aca="false">EOMONTH(C210,0)</f>
        <v>47999</v>
      </c>
      <c r="G210" s="15" t="s">
        <v>33</v>
      </c>
      <c r="H210" s="130"/>
      <c r="I210" s="89" t="n">
        <v>0.026145</v>
      </c>
      <c r="J210" s="89" t="n">
        <v>0.026145</v>
      </c>
      <c r="M210" s="15" t="s">
        <v>33</v>
      </c>
      <c r="N210" s="18" t="n">
        <v>0</v>
      </c>
      <c r="O210" s="18" t="n">
        <v>0.026145</v>
      </c>
      <c r="P210" s="18" t="n">
        <v>0.026145</v>
      </c>
    </row>
    <row r="211" customFormat="false" ht="13.8" hidden="true" customHeight="false" outlineLevel="1" collapsed="false">
      <c r="B211" s="15" t="s">
        <v>25</v>
      </c>
      <c r="C211" s="26" t="n">
        <f aca="false">E210+1</f>
        <v>48000</v>
      </c>
      <c r="E211" s="26" t="n">
        <f aca="false">EOMONTH(C211,0)</f>
        <v>48029</v>
      </c>
      <c r="G211" s="15" t="s">
        <v>33</v>
      </c>
      <c r="H211" s="130"/>
      <c r="I211" s="89" t="n">
        <v>0.026145</v>
      </c>
      <c r="J211" s="89" t="n">
        <v>0.026145</v>
      </c>
      <c r="M211" s="15" t="s">
        <v>33</v>
      </c>
      <c r="N211" s="18" t="n">
        <v>0</v>
      </c>
      <c r="O211" s="18" t="n">
        <v>0.026145</v>
      </c>
      <c r="P211" s="18" t="n">
        <v>0.026145</v>
      </c>
    </row>
    <row r="212" customFormat="false" ht="13.8" hidden="true" customHeight="false" outlineLevel="1" collapsed="false">
      <c r="B212" s="15" t="s">
        <v>25</v>
      </c>
      <c r="C212" s="26" t="n">
        <f aca="false">E211+1</f>
        <v>48030</v>
      </c>
      <c r="E212" s="26" t="n">
        <f aca="false">EOMONTH(C212,0)</f>
        <v>48060</v>
      </c>
      <c r="G212" s="15" t="s">
        <v>33</v>
      </c>
      <c r="H212" s="130"/>
      <c r="I212" s="89" t="n">
        <v>0.026145</v>
      </c>
      <c r="J212" s="89" t="n">
        <v>0.026145</v>
      </c>
      <c r="M212" s="15" t="s">
        <v>33</v>
      </c>
      <c r="N212" s="18" t="n">
        <v>0</v>
      </c>
      <c r="O212" s="18" t="n">
        <v>0.026145</v>
      </c>
      <c r="P212" s="18" t="n">
        <v>0.026145</v>
      </c>
    </row>
    <row r="213" customFormat="false" ht="13.8" hidden="true" customHeight="false" outlineLevel="1" collapsed="false">
      <c r="B213" s="15" t="s">
        <v>25</v>
      </c>
      <c r="C213" s="26" t="n">
        <f aca="false">E212+1</f>
        <v>48061</v>
      </c>
      <c r="E213" s="26" t="n">
        <f aca="false">EOMONTH(C213,0)</f>
        <v>48091</v>
      </c>
      <c r="G213" s="15" t="s">
        <v>33</v>
      </c>
      <c r="H213" s="130"/>
      <c r="I213" s="89" t="n">
        <v>0.026145</v>
      </c>
      <c r="J213" s="89" t="n">
        <v>0.026145</v>
      </c>
      <c r="M213" s="15" t="s">
        <v>33</v>
      </c>
      <c r="N213" s="18" t="n">
        <v>0</v>
      </c>
      <c r="O213" s="18" t="n">
        <v>0.026145</v>
      </c>
      <c r="P213" s="18" t="n">
        <v>0.026145</v>
      </c>
    </row>
    <row r="214" customFormat="false" ht="13.8" hidden="true" customHeight="false" outlineLevel="1" collapsed="false">
      <c r="B214" s="15" t="s">
        <v>25</v>
      </c>
      <c r="C214" s="26" t="n">
        <f aca="false">E213+1</f>
        <v>48092</v>
      </c>
      <c r="E214" s="26" t="n">
        <f aca="false">EOMONTH(C214,0)</f>
        <v>48121</v>
      </c>
      <c r="G214" s="15" t="s">
        <v>33</v>
      </c>
      <c r="H214" s="130"/>
      <c r="I214" s="89" t="n">
        <v>0.026145</v>
      </c>
      <c r="J214" s="89" t="n">
        <v>0.026145</v>
      </c>
      <c r="M214" s="15" t="s">
        <v>33</v>
      </c>
      <c r="N214" s="18" t="n">
        <v>0</v>
      </c>
      <c r="O214" s="18" t="n">
        <v>0.026145</v>
      </c>
      <c r="P214" s="18" t="n">
        <v>0.026145</v>
      </c>
    </row>
    <row r="215" customFormat="false" ht="13.8" hidden="true" customHeight="false" outlineLevel="1" collapsed="false">
      <c r="B215" s="15" t="s">
        <v>25</v>
      </c>
      <c r="C215" s="26" t="n">
        <f aca="false">E214+1</f>
        <v>48122</v>
      </c>
      <c r="E215" s="26" t="n">
        <f aca="false">EOMONTH(C215,0)</f>
        <v>48152</v>
      </c>
      <c r="G215" s="15" t="s">
        <v>33</v>
      </c>
      <c r="H215" s="130"/>
      <c r="I215" s="89" t="n">
        <v>0.026145</v>
      </c>
      <c r="J215" s="89" t="n">
        <v>0.026145</v>
      </c>
      <c r="M215" s="15" t="s">
        <v>33</v>
      </c>
      <c r="N215" s="18" t="n">
        <v>0</v>
      </c>
      <c r="O215" s="18" t="n">
        <v>0.026145</v>
      </c>
      <c r="P215" s="18" t="n">
        <v>0.026145</v>
      </c>
    </row>
    <row r="216" customFormat="false" ht="13.8" hidden="true" customHeight="false" outlineLevel="1" collapsed="false">
      <c r="B216" s="15" t="s">
        <v>25</v>
      </c>
      <c r="C216" s="26" t="n">
        <f aca="false">E215+1</f>
        <v>48153</v>
      </c>
      <c r="E216" s="26" t="n">
        <f aca="false">EOMONTH(C216,0)</f>
        <v>48182</v>
      </c>
      <c r="G216" s="15" t="s">
        <v>33</v>
      </c>
      <c r="H216" s="130"/>
      <c r="I216" s="89" t="n">
        <v>0.026145</v>
      </c>
      <c r="J216" s="89" t="n">
        <v>0.026145</v>
      </c>
      <c r="M216" s="15" t="s">
        <v>33</v>
      </c>
      <c r="N216" s="18" t="n">
        <v>0</v>
      </c>
      <c r="O216" s="18" t="n">
        <v>0.026145</v>
      </c>
      <c r="P216" s="18" t="n">
        <v>0.026145</v>
      </c>
    </row>
    <row r="217" customFormat="false" ht="13.8" hidden="true" customHeight="false" outlineLevel="1" collapsed="false">
      <c r="B217" s="15" t="s">
        <v>25</v>
      </c>
      <c r="C217" s="26" t="n">
        <f aca="false">E216+1</f>
        <v>48183</v>
      </c>
      <c r="E217" s="26" t="n">
        <f aca="false">EOMONTH(C217,0)</f>
        <v>48213</v>
      </c>
      <c r="G217" s="15" t="s">
        <v>33</v>
      </c>
      <c r="H217" s="130"/>
      <c r="I217" s="89" t="n">
        <v>0.026145</v>
      </c>
      <c r="J217" s="89" t="n">
        <v>0.026145</v>
      </c>
      <c r="M217" s="15" t="s">
        <v>33</v>
      </c>
      <c r="N217" s="18" t="n">
        <v>0</v>
      </c>
      <c r="O217" s="18" t="n">
        <v>0.026145</v>
      </c>
      <c r="P217" s="18" t="n">
        <v>0.026145</v>
      </c>
    </row>
    <row r="218" customFormat="false" ht="13.8" hidden="true" customHeight="false" outlineLevel="1" collapsed="false">
      <c r="B218" s="15" t="s">
        <v>25</v>
      </c>
      <c r="C218" s="26" t="n">
        <f aca="false">E217+1</f>
        <v>48214</v>
      </c>
      <c r="E218" s="26" t="n">
        <f aca="false">EOMONTH(C218,0)</f>
        <v>48244</v>
      </c>
      <c r="G218" s="15" t="s">
        <v>33</v>
      </c>
      <c r="H218" s="130"/>
      <c r="I218" s="89" t="n">
        <v>0.026145</v>
      </c>
      <c r="J218" s="89" t="n">
        <v>0.026145</v>
      </c>
      <c r="M218" s="15" t="s">
        <v>33</v>
      </c>
      <c r="N218" s="18" t="n">
        <v>0</v>
      </c>
      <c r="O218" s="18" t="n">
        <v>0.026145</v>
      </c>
      <c r="P218" s="18" t="n">
        <v>0.026145</v>
      </c>
    </row>
    <row r="219" customFormat="false" ht="13.8" hidden="true" customHeight="false" outlineLevel="1" collapsed="false">
      <c r="B219" s="15" t="s">
        <v>25</v>
      </c>
      <c r="C219" s="26" t="n">
        <f aca="false">E218+1</f>
        <v>48245</v>
      </c>
      <c r="E219" s="26" t="n">
        <f aca="false">EOMONTH(C219,0)</f>
        <v>48273</v>
      </c>
      <c r="G219" s="15" t="s">
        <v>33</v>
      </c>
      <c r="H219" s="130"/>
      <c r="I219" s="89" t="n">
        <v>0.026145</v>
      </c>
      <c r="J219" s="89" t="n">
        <v>0.026145</v>
      </c>
      <c r="M219" s="15" t="s">
        <v>33</v>
      </c>
      <c r="N219" s="18" t="n">
        <v>0</v>
      </c>
      <c r="O219" s="18" t="n">
        <v>0.026145</v>
      </c>
      <c r="P219" s="18" t="n">
        <v>0.026145</v>
      </c>
    </row>
    <row r="220" customFormat="false" ht="13.8" hidden="true" customHeight="false" outlineLevel="1" collapsed="false">
      <c r="B220" s="15" t="s">
        <v>25</v>
      </c>
      <c r="C220" s="26" t="n">
        <f aca="false">E219+1</f>
        <v>48274</v>
      </c>
      <c r="E220" s="26" t="n">
        <f aca="false">EOMONTH(C220,0)</f>
        <v>48304</v>
      </c>
      <c r="G220" s="15" t="s">
        <v>33</v>
      </c>
      <c r="H220" s="130"/>
      <c r="I220" s="89" t="n">
        <v>0.026145</v>
      </c>
      <c r="J220" s="89" t="n">
        <v>0.026145</v>
      </c>
      <c r="M220" s="15" t="s">
        <v>33</v>
      </c>
      <c r="N220" s="18" t="n">
        <v>0</v>
      </c>
      <c r="O220" s="18" t="n">
        <v>0.026145</v>
      </c>
      <c r="P220" s="18" t="n">
        <v>0.026145</v>
      </c>
    </row>
    <row r="221" customFormat="false" ht="13.8" hidden="true" customHeight="false" outlineLevel="1" collapsed="false">
      <c r="B221" s="15" t="s">
        <v>25</v>
      </c>
      <c r="C221" s="26" t="n">
        <f aca="false">E220+1</f>
        <v>48305</v>
      </c>
      <c r="E221" s="26" t="n">
        <f aca="false">EOMONTH(C221,0)</f>
        <v>48334</v>
      </c>
      <c r="G221" s="15" t="s">
        <v>33</v>
      </c>
      <c r="H221" s="130"/>
      <c r="I221" s="89" t="n">
        <v>0.026145</v>
      </c>
      <c r="J221" s="89" t="n">
        <v>0.026145</v>
      </c>
      <c r="M221" s="15" t="s">
        <v>33</v>
      </c>
      <c r="N221" s="18" t="n">
        <v>0</v>
      </c>
      <c r="O221" s="18" t="n">
        <v>0.026145</v>
      </c>
      <c r="P221" s="18" t="n">
        <v>0.026145</v>
      </c>
    </row>
    <row r="222" customFormat="false" ht="13.8" hidden="true" customHeight="false" outlineLevel="1" collapsed="false">
      <c r="B222" s="15" t="s">
        <v>25</v>
      </c>
      <c r="C222" s="26" t="n">
        <f aca="false">E221+1</f>
        <v>48335</v>
      </c>
      <c r="E222" s="26" t="n">
        <f aca="false">EOMONTH(C222,0)</f>
        <v>48365</v>
      </c>
      <c r="G222" s="15" t="s">
        <v>33</v>
      </c>
      <c r="H222" s="130"/>
      <c r="I222" s="89" t="n">
        <v>0.026145</v>
      </c>
      <c r="J222" s="89" t="n">
        <v>0.026145</v>
      </c>
      <c r="M222" s="15" t="s">
        <v>33</v>
      </c>
      <c r="N222" s="18" t="n">
        <v>0</v>
      </c>
      <c r="O222" s="18" t="n">
        <v>0.026145</v>
      </c>
      <c r="P222" s="18" t="n">
        <v>0.026145</v>
      </c>
    </row>
    <row r="223" customFormat="false" ht="13.8" hidden="true" customHeight="false" outlineLevel="1" collapsed="false">
      <c r="B223" s="15" t="s">
        <v>25</v>
      </c>
      <c r="C223" s="26" t="n">
        <f aca="false">E222+1</f>
        <v>48366</v>
      </c>
      <c r="E223" s="26" t="n">
        <f aca="false">EOMONTH(C223,0)</f>
        <v>48395</v>
      </c>
      <c r="G223" s="15" t="s">
        <v>33</v>
      </c>
      <c r="H223" s="130"/>
      <c r="I223" s="89" t="n">
        <v>0.026145</v>
      </c>
      <c r="J223" s="89" t="n">
        <v>0.026145</v>
      </c>
      <c r="M223" s="15" t="s">
        <v>33</v>
      </c>
      <c r="N223" s="18" t="n">
        <v>0</v>
      </c>
      <c r="O223" s="18" t="n">
        <v>0.026145</v>
      </c>
      <c r="P223" s="18" t="n">
        <v>0.026145</v>
      </c>
    </row>
    <row r="224" customFormat="false" ht="13.8" hidden="true" customHeight="false" outlineLevel="1" collapsed="false">
      <c r="B224" s="15" t="s">
        <v>25</v>
      </c>
      <c r="C224" s="26" t="n">
        <f aca="false">E223+1</f>
        <v>48396</v>
      </c>
      <c r="E224" s="26" t="n">
        <f aca="false">EOMONTH(C224,0)</f>
        <v>48426</v>
      </c>
      <c r="G224" s="15" t="s">
        <v>33</v>
      </c>
      <c r="H224" s="130"/>
      <c r="I224" s="89" t="n">
        <v>0.026145</v>
      </c>
      <c r="J224" s="89" t="n">
        <v>0.026145</v>
      </c>
      <c r="M224" s="15" t="s">
        <v>33</v>
      </c>
      <c r="N224" s="18" t="n">
        <v>0</v>
      </c>
      <c r="O224" s="18" t="n">
        <v>0.026145</v>
      </c>
      <c r="P224" s="18" t="n">
        <v>0.026145</v>
      </c>
    </row>
    <row r="225" customFormat="false" ht="13.8" hidden="true" customHeight="false" outlineLevel="1" collapsed="false">
      <c r="B225" s="15" t="s">
        <v>25</v>
      </c>
      <c r="C225" s="26" t="n">
        <f aca="false">E224+1</f>
        <v>48427</v>
      </c>
      <c r="E225" s="26" t="n">
        <f aca="false">EOMONTH(C225,0)</f>
        <v>48457</v>
      </c>
      <c r="G225" s="15" t="s">
        <v>33</v>
      </c>
      <c r="H225" s="130"/>
      <c r="I225" s="89" t="n">
        <v>0.026145</v>
      </c>
      <c r="J225" s="89" t="n">
        <v>0.026145</v>
      </c>
      <c r="M225" s="15" t="s">
        <v>33</v>
      </c>
      <c r="N225" s="18" t="n">
        <v>0</v>
      </c>
      <c r="O225" s="18" t="n">
        <v>0.026145</v>
      </c>
      <c r="P225" s="18" t="n">
        <v>0.026145</v>
      </c>
    </row>
    <row r="226" customFormat="false" ht="13.8" hidden="true" customHeight="false" outlineLevel="1" collapsed="false">
      <c r="B226" s="15" t="s">
        <v>25</v>
      </c>
      <c r="C226" s="26" t="n">
        <f aca="false">E225+1</f>
        <v>48458</v>
      </c>
      <c r="E226" s="26" t="n">
        <f aca="false">EOMONTH(C226,0)</f>
        <v>48487</v>
      </c>
      <c r="G226" s="15" t="s">
        <v>33</v>
      </c>
      <c r="H226" s="130"/>
      <c r="I226" s="89" t="n">
        <v>0.026145</v>
      </c>
      <c r="J226" s="89" t="n">
        <v>0.026145</v>
      </c>
      <c r="M226" s="15" t="s">
        <v>33</v>
      </c>
      <c r="N226" s="18" t="n">
        <v>0</v>
      </c>
      <c r="O226" s="18" t="n">
        <v>0.026145</v>
      </c>
      <c r="P226" s="18" t="n">
        <v>0.026145</v>
      </c>
    </row>
    <row r="227" customFormat="false" ht="13.8" hidden="true" customHeight="false" outlineLevel="1" collapsed="false">
      <c r="B227" s="15" t="s">
        <v>25</v>
      </c>
      <c r="C227" s="26" t="n">
        <f aca="false">E226+1</f>
        <v>48488</v>
      </c>
      <c r="E227" s="26" t="n">
        <f aca="false">EOMONTH(C227,0)</f>
        <v>48518</v>
      </c>
      <c r="G227" s="15" t="s">
        <v>33</v>
      </c>
      <c r="H227" s="130"/>
      <c r="I227" s="89" t="n">
        <v>0.026145</v>
      </c>
      <c r="J227" s="89" t="n">
        <v>0.026145</v>
      </c>
      <c r="M227" s="15" t="s">
        <v>33</v>
      </c>
      <c r="N227" s="18" t="n">
        <v>0</v>
      </c>
      <c r="O227" s="18" t="n">
        <v>0.026145</v>
      </c>
      <c r="P227" s="18" t="n">
        <v>0.026145</v>
      </c>
    </row>
    <row r="228" customFormat="false" ht="13.8" hidden="true" customHeight="false" outlineLevel="1" collapsed="false">
      <c r="B228" s="15" t="s">
        <v>25</v>
      </c>
      <c r="C228" s="26" t="n">
        <f aca="false">E227+1</f>
        <v>48519</v>
      </c>
      <c r="E228" s="26" t="n">
        <f aca="false">EOMONTH(C228,0)</f>
        <v>48548</v>
      </c>
      <c r="G228" s="15" t="s">
        <v>33</v>
      </c>
      <c r="H228" s="130"/>
      <c r="I228" s="89" t="n">
        <v>0.026145</v>
      </c>
      <c r="J228" s="89" t="n">
        <v>0.026145</v>
      </c>
      <c r="M228" s="15" t="s">
        <v>33</v>
      </c>
      <c r="N228" s="18" t="n">
        <v>0</v>
      </c>
      <c r="O228" s="18" t="n">
        <v>0.026145</v>
      </c>
      <c r="P228" s="18" t="n">
        <v>0.026145</v>
      </c>
    </row>
    <row r="229" customFormat="false" ht="13.8" hidden="true" customHeight="false" outlineLevel="1" collapsed="false">
      <c r="B229" s="15" t="s">
        <v>25</v>
      </c>
      <c r="C229" s="26" t="n">
        <f aca="false">E228+1</f>
        <v>48549</v>
      </c>
      <c r="E229" s="26" t="n">
        <f aca="false">EOMONTH(C229,0)</f>
        <v>48579</v>
      </c>
      <c r="G229" s="15" t="s">
        <v>33</v>
      </c>
      <c r="H229" s="130"/>
      <c r="I229" s="89" t="n">
        <v>0.026145</v>
      </c>
      <c r="J229" s="89" t="n">
        <v>0.026145</v>
      </c>
      <c r="M229" s="15" t="s">
        <v>33</v>
      </c>
      <c r="N229" s="18" t="n">
        <v>0</v>
      </c>
      <c r="O229" s="18" t="n">
        <v>0.026145</v>
      </c>
      <c r="P229" s="18" t="n">
        <v>0.026145</v>
      </c>
    </row>
    <row r="230" customFormat="false" ht="13.8" hidden="true" customHeight="false" outlineLevel="1" collapsed="false">
      <c r="B230" s="15" t="s">
        <v>25</v>
      </c>
      <c r="C230" s="26" t="n">
        <f aca="false">E229+1</f>
        <v>48580</v>
      </c>
      <c r="E230" s="26" t="n">
        <f aca="false">EOMONTH(C230,0)</f>
        <v>48610</v>
      </c>
      <c r="G230" s="15" t="s">
        <v>33</v>
      </c>
      <c r="H230" s="130"/>
      <c r="I230" s="89" t="n">
        <v>0.026145</v>
      </c>
      <c r="J230" s="89" t="n">
        <v>0.026145</v>
      </c>
      <c r="M230" s="15" t="s">
        <v>33</v>
      </c>
      <c r="N230" s="18" t="n">
        <v>0</v>
      </c>
      <c r="O230" s="18" t="n">
        <v>0.026145</v>
      </c>
      <c r="P230" s="18" t="n">
        <v>0.026145</v>
      </c>
    </row>
    <row r="231" customFormat="false" ht="13.8" hidden="true" customHeight="false" outlineLevel="1" collapsed="false">
      <c r="B231" s="15" t="s">
        <v>25</v>
      </c>
      <c r="C231" s="26" t="n">
        <f aca="false">E230+1</f>
        <v>48611</v>
      </c>
      <c r="E231" s="26" t="n">
        <f aca="false">EOMONTH(C231,0)</f>
        <v>48638</v>
      </c>
      <c r="G231" s="15" t="s">
        <v>33</v>
      </c>
      <c r="H231" s="130"/>
      <c r="I231" s="89" t="n">
        <v>0.026145</v>
      </c>
      <c r="J231" s="89" t="n">
        <v>0.026145</v>
      </c>
      <c r="M231" s="15" t="s">
        <v>33</v>
      </c>
      <c r="N231" s="18" t="n">
        <v>0</v>
      </c>
      <c r="O231" s="18" t="n">
        <v>0.026145</v>
      </c>
      <c r="P231" s="18" t="n">
        <v>0.026145</v>
      </c>
    </row>
    <row r="232" customFormat="false" ht="13.8" hidden="true" customHeight="false" outlineLevel="1" collapsed="false">
      <c r="B232" s="15" t="s">
        <v>25</v>
      </c>
      <c r="C232" s="26" t="n">
        <f aca="false">E231+1</f>
        <v>48639</v>
      </c>
      <c r="E232" s="26" t="n">
        <f aca="false">EOMONTH(C232,0)</f>
        <v>48669</v>
      </c>
      <c r="G232" s="15" t="s">
        <v>33</v>
      </c>
      <c r="H232" s="130"/>
      <c r="I232" s="89" t="n">
        <v>0.026145</v>
      </c>
      <c r="J232" s="89" t="n">
        <v>0.026145</v>
      </c>
      <c r="M232" s="15" t="s">
        <v>33</v>
      </c>
      <c r="N232" s="18" t="n">
        <v>0</v>
      </c>
      <c r="O232" s="18" t="n">
        <v>0.026145</v>
      </c>
      <c r="P232" s="18" t="n">
        <v>0.026145</v>
      </c>
    </row>
    <row r="233" customFormat="false" ht="13.8" hidden="true" customHeight="false" outlineLevel="1" collapsed="false">
      <c r="B233" s="15" t="s">
        <v>25</v>
      </c>
      <c r="C233" s="26" t="n">
        <f aca="false">E232+1</f>
        <v>48670</v>
      </c>
      <c r="E233" s="26" t="n">
        <f aca="false">EOMONTH(C233,0)</f>
        <v>48699</v>
      </c>
      <c r="G233" s="15" t="s">
        <v>33</v>
      </c>
      <c r="H233" s="130"/>
      <c r="I233" s="89" t="n">
        <v>0.026145</v>
      </c>
      <c r="J233" s="89" t="n">
        <v>0.026145</v>
      </c>
      <c r="M233" s="15" t="s">
        <v>33</v>
      </c>
      <c r="N233" s="18" t="n">
        <v>0</v>
      </c>
      <c r="O233" s="18" t="n">
        <v>0.026145</v>
      </c>
      <c r="P233" s="18" t="n">
        <v>0.026145</v>
      </c>
    </row>
    <row r="234" customFormat="false" ht="13.8" hidden="true" customHeight="false" outlineLevel="1" collapsed="false">
      <c r="B234" s="15" t="s">
        <v>25</v>
      </c>
      <c r="C234" s="26" t="n">
        <f aca="false">E233+1</f>
        <v>48700</v>
      </c>
      <c r="E234" s="26" t="n">
        <f aca="false">EOMONTH(C234,0)</f>
        <v>48730</v>
      </c>
      <c r="G234" s="15" t="s">
        <v>33</v>
      </c>
      <c r="H234" s="130"/>
      <c r="I234" s="89" t="n">
        <v>0.026145</v>
      </c>
      <c r="J234" s="89" t="n">
        <v>0.026145</v>
      </c>
      <c r="M234" s="15" t="s">
        <v>33</v>
      </c>
      <c r="N234" s="18" t="n">
        <v>0</v>
      </c>
      <c r="O234" s="18" t="n">
        <v>0.026145</v>
      </c>
      <c r="P234" s="18" t="n">
        <v>0.026145</v>
      </c>
    </row>
    <row r="235" customFormat="false" ht="13.8" hidden="true" customHeight="false" outlineLevel="1" collapsed="false">
      <c r="B235" s="15" t="s">
        <v>25</v>
      </c>
      <c r="C235" s="26" t="n">
        <f aca="false">E234+1</f>
        <v>48731</v>
      </c>
      <c r="E235" s="26" t="n">
        <f aca="false">EOMONTH(C235,0)</f>
        <v>48760</v>
      </c>
      <c r="G235" s="15" t="s">
        <v>33</v>
      </c>
      <c r="H235" s="130"/>
      <c r="I235" s="89" t="n">
        <v>0.026145</v>
      </c>
      <c r="J235" s="89" t="n">
        <v>0.026145</v>
      </c>
      <c r="M235" s="15" t="s">
        <v>33</v>
      </c>
      <c r="N235" s="18" t="n">
        <v>0</v>
      </c>
      <c r="O235" s="18" t="n">
        <v>0.026145</v>
      </c>
      <c r="P235" s="18" t="n">
        <v>0.026145</v>
      </c>
    </row>
    <row r="236" customFormat="false" ht="13.8" hidden="true" customHeight="false" outlineLevel="1" collapsed="false">
      <c r="B236" s="15" t="s">
        <v>25</v>
      </c>
      <c r="C236" s="26" t="n">
        <f aca="false">E235+1</f>
        <v>48761</v>
      </c>
      <c r="E236" s="26" t="n">
        <f aca="false">EOMONTH(C236,0)</f>
        <v>48791</v>
      </c>
      <c r="G236" s="15" t="s">
        <v>33</v>
      </c>
      <c r="H236" s="130"/>
      <c r="I236" s="89" t="n">
        <v>0.026145</v>
      </c>
      <c r="J236" s="89" t="n">
        <v>0.026145</v>
      </c>
      <c r="M236" s="15" t="s">
        <v>33</v>
      </c>
      <c r="N236" s="18" t="n">
        <v>0</v>
      </c>
      <c r="O236" s="18" t="n">
        <v>0.026145</v>
      </c>
      <c r="P236" s="18" t="n">
        <v>0.026145</v>
      </c>
    </row>
    <row r="237" customFormat="false" ht="13.8" hidden="true" customHeight="false" outlineLevel="1" collapsed="false">
      <c r="B237" s="15" t="s">
        <v>25</v>
      </c>
      <c r="C237" s="26" t="n">
        <f aca="false">E236+1</f>
        <v>48792</v>
      </c>
      <c r="E237" s="26" t="n">
        <f aca="false">EOMONTH(C237,0)</f>
        <v>48822</v>
      </c>
      <c r="G237" s="15" t="s">
        <v>33</v>
      </c>
      <c r="H237" s="130"/>
      <c r="I237" s="89" t="n">
        <v>0.026145</v>
      </c>
      <c r="J237" s="89" t="n">
        <v>0.026145</v>
      </c>
      <c r="M237" s="15" t="s">
        <v>33</v>
      </c>
      <c r="N237" s="18" t="n">
        <v>0</v>
      </c>
      <c r="O237" s="18" t="n">
        <v>0.026145</v>
      </c>
      <c r="P237" s="18" t="n">
        <v>0.026145</v>
      </c>
    </row>
    <row r="238" customFormat="false" ht="13.8" hidden="true" customHeight="false" outlineLevel="1" collapsed="false">
      <c r="B238" s="15" t="s">
        <v>25</v>
      </c>
      <c r="C238" s="26" t="n">
        <f aca="false">E237+1</f>
        <v>48823</v>
      </c>
      <c r="E238" s="26" t="n">
        <f aca="false">EOMONTH(C238,0)</f>
        <v>48852</v>
      </c>
      <c r="G238" s="15" t="s">
        <v>33</v>
      </c>
      <c r="H238" s="130"/>
      <c r="I238" s="89" t="n">
        <v>0.026145</v>
      </c>
      <c r="J238" s="89" t="n">
        <v>0.026145</v>
      </c>
      <c r="M238" s="15" t="s">
        <v>33</v>
      </c>
      <c r="N238" s="18" t="n">
        <v>0</v>
      </c>
      <c r="O238" s="18" t="n">
        <v>0.026145</v>
      </c>
      <c r="P238" s="18" t="n">
        <v>0.026145</v>
      </c>
    </row>
    <row r="239" customFormat="false" ht="13.8" hidden="true" customHeight="false" outlineLevel="1" collapsed="false">
      <c r="B239" s="15" t="s">
        <v>25</v>
      </c>
      <c r="C239" s="26" t="n">
        <f aca="false">E238+1</f>
        <v>48853</v>
      </c>
      <c r="E239" s="26" t="n">
        <f aca="false">EOMONTH(C239,0)</f>
        <v>48883</v>
      </c>
      <c r="G239" s="15" t="s">
        <v>33</v>
      </c>
      <c r="H239" s="130"/>
      <c r="I239" s="89" t="n">
        <v>0.026145</v>
      </c>
      <c r="J239" s="89" t="n">
        <v>0.026145</v>
      </c>
      <c r="M239" s="15" t="s">
        <v>33</v>
      </c>
      <c r="N239" s="18" t="n">
        <v>0</v>
      </c>
      <c r="O239" s="18" t="n">
        <v>0.026145</v>
      </c>
      <c r="P239" s="18" t="n">
        <v>0.026145</v>
      </c>
    </row>
    <row r="240" customFormat="false" ht="13.8" hidden="true" customHeight="false" outlineLevel="1" collapsed="false">
      <c r="B240" s="15" t="s">
        <v>25</v>
      </c>
      <c r="C240" s="26" t="n">
        <f aca="false">E239+1</f>
        <v>48884</v>
      </c>
      <c r="E240" s="26" t="n">
        <f aca="false">EOMONTH(C240,0)</f>
        <v>48913</v>
      </c>
      <c r="G240" s="15" t="s">
        <v>33</v>
      </c>
      <c r="H240" s="130"/>
      <c r="I240" s="89" t="n">
        <v>0.026145</v>
      </c>
      <c r="J240" s="89" t="n">
        <v>0.026145</v>
      </c>
      <c r="M240" s="15" t="s">
        <v>33</v>
      </c>
      <c r="N240" s="18" t="n">
        <v>0</v>
      </c>
      <c r="O240" s="18" t="n">
        <v>0.026145</v>
      </c>
      <c r="P240" s="18" t="n">
        <v>0.026145</v>
      </c>
    </row>
    <row r="241" customFormat="false" ht="13.8" hidden="true" customHeight="false" outlineLevel="1" collapsed="false">
      <c r="B241" s="15" t="s">
        <v>25</v>
      </c>
      <c r="C241" s="26" t="n">
        <f aca="false">E240+1</f>
        <v>48914</v>
      </c>
      <c r="E241" s="26" t="n">
        <f aca="false">EOMONTH(C241,0)</f>
        <v>48944</v>
      </c>
      <c r="G241" s="15" t="s">
        <v>33</v>
      </c>
      <c r="H241" s="130"/>
      <c r="I241" s="89" t="n">
        <v>0.026145</v>
      </c>
      <c r="J241" s="89" t="n">
        <v>0.026145</v>
      </c>
      <c r="M241" s="15" t="s">
        <v>33</v>
      </c>
      <c r="N241" s="18" t="n">
        <v>0</v>
      </c>
      <c r="O241" s="18" t="n">
        <v>0.026145</v>
      </c>
      <c r="P241" s="18" t="n">
        <v>0.026145</v>
      </c>
    </row>
    <row r="242" customFormat="false" ht="13.8" hidden="true" customHeight="false" outlineLevel="1" collapsed="false">
      <c r="B242" s="15" t="s">
        <v>25</v>
      </c>
      <c r="C242" s="26" t="n">
        <f aca="false">E241+1</f>
        <v>48945</v>
      </c>
      <c r="E242" s="26" t="n">
        <f aca="false">EOMONTH(C242,0)</f>
        <v>48975</v>
      </c>
      <c r="G242" s="15" t="s">
        <v>33</v>
      </c>
      <c r="H242" s="130"/>
      <c r="I242" s="89" t="n">
        <v>0.026145</v>
      </c>
      <c r="J242" s="89" t="n">
        <v>0.026145</v>
      </c>
      <c r="M242" s="15" t="s">
        <v>33</v>
      </c>
      <c r="N242" s="18" t="n">
        <v>0</v>
      </c>
      <c r="O242" s="18" t="n">
        <v>0.026145</v>
      </c>
      <c r="P242" s="18" t="n">
        <v>0.026145</v>
      </c>
    </row>
    <row r="243" customFormat="false" ht="13.8" hidden="true" customHeight="false" outlineLevel="1" collapsed="false">
      <c r="B243" s="15" t="s">
        <v>25</v>
      </c>
      <c r="C243" s="26" t="n">
        <f aca="false">E242+1</f>
        <v>48976</v>
      </c>
      <c r="E243" s="26" t="n">
        <f aca="false">EOMONTH(C243,0)</f>
        <v>49003</v>
      </c>
      <c r="G243" s="15" t="s">
        <v>33</v>
      </c>
      <c r="H243" s="130"/>
      <c r="I243" s="89" t="n">
        <v>0.026145</v>
      </c>
      <c r="J243" s="89" t="n">
        <v>0.026145</v>
      </c>
      <c r="M243" s="15" t="s">
        <v>33</v>
      </c>
      <c r="N243" s="18" t="n">
        <v>0</v>
      </c>
      <c r="O243" s="18" t="n">
        <v>0.026145</v>
      </c>
      <c r="P243" s="18" t="n">
        <v>0.026145</v>
      </c>
    </row>
    <row r="244" customFormat="false" ht="13.8" hidden="true" customHeight="false" outlineLevel="1" collapsed="false">
      <c r="B244" s="15" t="s">
        <v>25</v>
      </c>
      <c r="C244" s="26" t="n">
        <f aca="false">E243+1</f>
        <v>49004</v>
      </c>
      <c r="E244" s="26" t="n">
        <f aca="false">EOMONTH(C244,0)</f>
        <v>49034</v>
      </c>
      <c r="G244" s="15" t="s">
        <v>33</v>
      </c>
      <c r="H244" s="130"/>
      <c r="I244" s="89" t="n">
        <v>0.026145</v>
      </c>
      <c r="J244" s="89" t="n">
        <v>0.026145</v>
      </c>
      <c r="M244" s="15" t="s">
        <v>33</v>
      </c>
      <c r="N244" s="18" t="n">
        <v>0</v>
      </c>
      <c r="O244" s="18" t="n">
        <v>0.026145</v>
      </c>
      <c r="P244" s="18" t="n">
        <v>0.026145</v>
      </c>
    </row>
    <row r="245" customFormat="false" ht="13.8" hidden="true" customHeight="false" outlineLevel="1" collapsed="false">
      <c r="B245" s="15" t="s">
        <v>25</v>
      </c>
      <c r="C245" s="26" t="n">
        <f aca="false">E244+1</f>
        <v>49035</v>
      </c>
      <c r="E245" s="26" t="n">
        <f aca="false">EOMONTH(C245,0)</f>
        <v>49064</v>
      </c>
      <c r="G245" s="15" t="s">
        <v>33</v>
      </c>
      <c r="H245" s="130"/>
      <c r="I245" s="89" t="n">
        <v>0.026145</v>
      </c>
      <c r="J245" s="89" t="n">
        <v>0.026145</v>
      </c>
      <c r="M245" s="15" t="s">
        <v>33</v>
      </c>
      <c r="N245" s="18" t="n">
        <v>0</v>
      </c>
      <c r="O245" s="18" t="n">
        <v>0.026145</v>
      </c>
      <c r="P245" s="18" t="n">
        <v>0.026145</v>
      </c>
    </row>
    <row r="246" customFormat="false" ht="13.8" hidden="true" customHeight="false" outlineLevel="1" collapsed="false">
      <c r="B246" s="15" t="s">
        <v>25</v>
      </c>
      <c r="C246" s="26" t="n">
        <f aca="false">E245+1</f>
        <v>49065</v>
      </c>
      <c r="E246" s="26" t="n">
        <f aca="false">EOMONTH(C246,0)</f>
        <v>49095</v>
      </c>
      <c r="G246" s="15" t="s">
        <v>33</v>
      </c>
      <c r="H246" s="130"/>
      <c r="I246" s="89" t="n">
        <v>0.026145</v>
      </c>
      <c r="J246" s="89" t="n">
        <v>0.026145</v>
      </c>
      <c r="M246" s="15" t="s">
        <v>33</v>
      </c>
      <c r="N246" s="18" t="n">
        <v>0</v>
      </c>
      <c r="O246" s="18" t="n">
        <v>0.026145</v>
      </c>
      <c r="P246" s="18" t="n">
        <v>0.026145</v>
      </c>
    </row>
    <row r="247" customFormat="false" ht="13.8" hidden="true" customHeight="false" outlineLevel="1" collapsed="false">
      <c r="B247" s="15" t="s">
        <v>25</v>
      </c>
      <c r="C247" s="26" t="n">
        <f aca="false">E246+1</f>
        <v>49096</v>
      </c>
      <c r="E247" s="26" t="n">
        <f aca="false">EOMONTH(C247,0)</f>
        <v>49125</v>
      </c>
      <c r="G247" s="15" t="s">
        <v>33</v>
      </c>
      <c r="H247" s="130"/>
      <c r="I247" s="89" t="n">
        <v>0.026145</v>
      </c>
      <c r="J247" s="89" t="n">
        <v>0.026145</v>
      </c>
      <c r="M247" s="15" t="s">
        <v>33</v>
      </c>
      <c r="N247" s="18" t="n">
        <v>0</v>
      </c>
      <c r="O247" s="18" t="n">
        <v>0.026145</v>
      </c>
      <c r="P247" s="18" t="n">
        <v>0.026145</v>
      </c>
    </row>
    <row r="248" customFormat="false" ht="13.8" hidden="true" customHeight="false" outlineLevel="1" collapsed="false">
      <c r="B248" s="15" t="s">
        <v>25</v>
      </c>
      <c r="C248" s="26" t="n">
        <f aca="false">E247+1</f>
        <v>49126</v>
      </c>
      <c r="E248" s="26" t="n">
        <f aca="false">EOMONTH(C248,0)</f>
        <v>49156</v>
      </c>
      <c r="G248" s="15" t="s">
        <v>33</v>
      </c>
      <c r="H248" s="130"/>
      <c r="I248" s="89" t="n">
        <v>0.026145</v>
      </c>
      <c r="J248" s="89" t="n">
        <v>0.026145</v>
      </c>
      <c r="M248" s="15" t="s">
        <v>33</v>
      </c>
      <c r="N248" s="18" t="n">
        <v>0</v>
      </c>
      <c r="O248" s="18" t="n">
        <v>0.026145</v>
      </c>
      <c r="P248" s="18" t="n">
        <v>0.026145</v>
      </c>
    </row>
    <row r="249" customFormat="false" ht="13.8" hidden="true" customHeight="false" outlineLevel="1" collapsed="false">
      <c r="B249" s="15" t="s">
        <v>25</v>
      </c>
      <c r="C249" s="26" t="n">
        <f aca="false">E248+1</f>
        <v>49157</v>
      </c>
      <c r="E249" s="26" t="n">
        <f aca="false">EOMONTH(C249,0)</f>
        <v>49187</v>
      </c>
      <c r="G249" s="15" t="s">
        <v>33</v>
      </c>
      <c r="H249" s="130"/>
      <c r="I249" s="89" t="n">
        <v>0.026145</v>
      </c>
      <c r="J249" s="89" t="n">
        <v>0.026145</v>
      </c>
      <c r="M249" s="15" t="s">
        <v>33</v>
      </c>
      <c r="N249" s="18" t="n">
        <v>0</v>
      </c>
      <c r="O249" s="18" t="n">
        <v>0.026145</v>
      </c>
      <c r="P249" s="18" t="n">
        <v>0.026145</v>
      </c>
    </row>
    <row r="250" customFormat="false" ht="13.8" hidden="true" customHeight="false" outlineLevel="1" collapsed="false">
      <c r="B250" s="15" t="s">
        <v>25</v>
      </c>
      <c r="C250" s="26" t="n">
        <f aca="false">E249+1</f>
        <v>49188</v>
      </c>
      <c r="E250" s="26" t="n">
        <f aca="false">EOMONTH(C250,0)</f>
        <v>49217</v>
      </c>
      <c r="G250" s="15" t="s">
        <v>33</v>
      </c>
      <c r="H250" s="130"/>
      <c r="I250" s="89" t="n">
        <v>0.026145</v>
      </c>
      <c r="J250" s="89" t="n">
        <v>0.026145</v>
      </c>
      <c r="M250" s="15" t="s">
        <v>33</v>
      </c>
      <c r="N250" s="18" t="n">
        <v>0</v>
      </c>
      <c r="O250" s="18" t="n">
        <v>0.026145</v>
      </c>
      <c r="P250" s="18" t="n">
        <v>0.026145</v>
      </c>
    </row>
    <row r="251" customFormat="false" ht="13.8" hidden="true" customHeight="false" outlineLevel="1" collapsed="false">
      <c r="B251" s="15" t="s">
        <v>25</v>
      </c>
      <c r="C251" s="26" t="n">
        <f aca="false">E250+1</f>
        <v>49218</v>
      </c>
      <c r="E251" s="26" t="n">
        <f aca="false">EOMONTH(C251,0)</f>
        <v>49248</v>
      </c>
      <c r="G251" s="15" t="s">
        <v>33</v>
      </c>
      <c r="H251" s="130"/>
      <c r="I251" s="89" t="n">
        <v>0.026145</v>
      </c>
      <c r="J251" s="89" t="n">
        <v>0.026145</v>
      </c>
      <c r="M251" s="15" t="s">
        <v>33</v>
      </c>
      <c r="N251" s="18" t="n">
        <v>0</v>
      </c>
      <c r="O251" s="18" t="n">
        <v>0.026145</v>
      </c>
      <c r="P251" s="18" t="n">
        <v>0.026145</v>
      </c>
    </row>
    <row r="252" customFormat="false" ht="13.8" hidden="true" customHeight="false" outlineLevel="1" collapsed="false">
      <c r="B252" s="15" t="s">
        <v>25</v>
      </c>
      <c r="C252" s="26" t="n">
        <f aca="false">E251+1</f>
        <v>49249</v>
      </c>
      <c r="E252" s="26" t="n">
        <f aca="false">EOMONTH(C252,0)</f>
        <v>49278</v>
      </c>
      <c r="G252" s="15" t="s">
        <v>33</v>
      </c>
      <c r="H252" s="130"/>
      <c r="I252" s="89" t="n">
        <v>0.026145</v>
      </c>
      <c r="J252" s="89" t="n">
        <v>0.026145</v>
      </c>
      <c r="M252" s="15" t="s">
        <v>33</v>
      </c>
      <c r="N252" s="18" t="n">
        <v>0</v>
      </c>
      <c r="O252" s="18" t="n">
        <v>0.026145</v>
      </c>
      <c r="P252" s="18" t="n">
        <v>0.026145</v>
      </c>
    </row>
    <row r="253" customFormat="false" ht="13.8" hidden="true" customHeight="false" outlineLevel="1" collapsed="false">
      <c r="B253" s="15" t="s">
        <v>25</v>
      </c>
      <c r="C253" s="26" t="n">
        <f aca="false">E252+1</f>
        <v>49279</v>
      </c>
      <c r="E253" s="26" t="n">
        <f aca="false">EOMONTH(C253,0)</f>
        <v>49309</v>
      </c>
      <c r="G253" s="15" t="s">
        <v>33</v>
      </c>
      <c r="H253" s="130"/>
      <c r="I253" s="89" t="n">
        <v>0.026145</v>
      </c>
      <c r="J253" s="89" t="n">
        <v>0.026145</v>
      </c>
      <c r="M253" s="15" t="s">
        <v>33</v>
      </c>
      <c r="N253" s="18" t="n">
        <v>0</v>
      </c>
      <c r="O253" s="18" t="n">
        <v>0.026145</v>
      </c>
      <c r="P253" s="18" t="n">
        <v>0.026145</v>
      </c>
    </row>
    <row r="254" customFormat="false" ht="13.8" hidden="true" customHeight="false" outlineLevel="1" collapsed="false">
      <c r="B254" s="15" t="s">
        <v>25</v>
      </c>
      <c r="C254" s="26" t="n">
        <f aca="false">E253+1</f>
        <v>49310</v>
      </c>
      <c r="E254" s="26" t="n">
        <f aca="false">EOMONTH(C254,0)</f>
        <v>49340</v>
      </c>
      <c r="G254" s="15" t="s">
        <v>33</v>
      </c>
      <c r="H254" s="130"/>
      <c r="I254" s="89" t="n">
        <v>0.026145</v>
      </c>
      <c r="J254" s="89" t="n">
        <v>0.026145</v>
      </c>
      <c r="M254" s="15" t="s">
        <v>33</v>
      </c>
      <c r="N254" s="18" t="n">
        <v>0</v>
      </c>
      <c r="O254" s="18" t="n">
        <v>0.026145</v>
      </c>
      <c r="P254" s="18" t="n">
        <v>0.026145</v>
      </c>
    </row>
    <row r="255" customFormat="false" ht="13.8" hidden="true" customHeight="false" outlineLevel="1" collapsed="false">
      <c r="B255" s="15" t="s">
        <v>25</v>
      </c>
      <c r="C255" s="26" t="n">
        <f aca="false">E254+1</f>
        <v>49341</v>
      </c>
      <c r="E255" s="26" t="n">
        <f aca="false">EOMONTH(C255,0)</f>
        <v>49368</v>
      </c>
      <c r="G255" s="15" t="s">
        <v>33</v>
      </c>
      <c r="H255" s="130"/>
      <c r="I255" s="89" t="n">
        <v>0.026145</v>
      </c>
      <c r="J255" s="89" t="n">
        <v>0.026145</v>
      </c>
      <c r="M255" s="15" t="s">
        <v>33</v>
      </c>
      <c r="N255" s="18" t="n">
        <v>0</v>
      </c>
      <c r="O255" s="18" t="n">
        <v>0.026145</v>
      </c>
      <c r="P255" s="18" t="n">
        <v>0.026145</v>
      </c>
    </row>
    <row r="256" customFormat="false" ht="13.8" hidden="true" customHeight="false" outlineLevel="1" collapsed="false">
      <c r="B256" s="15" t="s">
        <v>25</v>
      </c>
      <c r="C256" s="26" t="n">
        <f aca="false">E255+1</f>
        <v>49369</v>
      </c>
      <c r="E256" s="26" t="n">
        <f aca="false">EOMONTH(C256,0)</f>
        <v>49399</v>
      </c>
      <c r="G256" s="15" t="s">
        <v>33</v>
      </c>
      <c r="H256" s="130"/>
      <c r="I256" s="89" t="n">
        <v>0.026145</v>
      </c>
      <c r="J256" s="89" t="n">
        <v>0.026145</v>
      </c>
      <c r="M256" s="15" t="s">
        <v>33</v>
      </c>
      <c r="N256" s="18" t="n">
        <v>0</v>
      </c>
      <c r="O256" s="18" t="n">
        <v>0.026145</v>
      </c>
      <c r="P256" s="18" t="n">
        <v>0.026145</v>
      </c>
    </row>
    <row r="257" customFormat="false" ht="13.8" hidden="true" customHeight="false" outlineLevel="1" collapsed="false">
      <c r="B257" s="15" t="s">
        <v>25</v>
      </c>
      <c r="C257" s="26" t="n">
        <f aca="false">E256+1</f>
        <v>49400</v>
      </c>
      <c r="E257" s="26" t="n">
        <f aca="false">EOMONTH(C257,0)</f>
        <v>49429</v>
      </c>
      <c r="G257" s="15" t="s">
        <v>33</v>
      </c>
      <c r="H257" s="130"/>
      <c r="I257" s="89" t="n">
        <v>0.026145</v>
      </c>
      <c r="J257" s="89" t="n">
        <v>0.026145</v>
      </c>
      <c r="M257" s="15" t="s">
        <v>33</v>
      </c>
      <c r="N257" s="18" t="n">
        <v>0</v>
      </c>
      <c r="O257" s="18" t="n">
        <v>0.026145</v>
      </c>
      <c r="P257" s="18" t="n">
        <v>0.026145</v>
      </c>
    </row>
    <row r="258" customFormat="false" ht="13.8" hidden="true" customHeight="false" outlineLevel="1" collapsed="false">
      <c r="B258" s="15" t="s">
        <v>25</v>
      </c>
      <c r="C258" s="26" t="n">
        <f aca="false">E257+1</f>
        <v>49430</v>
      </c>
      <c r="E258" s="26" t="n">
        <f aca="false">EOMONTH(C258,0)</f>
        <v>49460</v>
      </c>
      <c r="G258" s="15" t="s">
        <v>33</v>
      </c>
      <c r="H258" s="130"/>
      <c r="I258" s="89" t="n">
        <v>0.026145</v>
      </c>
      <c r="J258" s="89" t="n">
        <v>0.026145</v>
      </c>
      <c r="M258" s="15" t="s">
        <v>33</v>
      </c>
      <c r="N258" s="18" t="n">
        <v>0</v>
      </c>
      <c r="O258" s="18" t="n">
        <v>0.026145</v>
      </c>
      <c r="P258" s="18" t="n">
        <v>0.026145</v>
      </c>
    </row>
    <row r="259" customFormat="false" ht="13.8" hidden="true" customHeight="false" outlineLevel="1" collapsed="false">
      <c r="B259" s="15" t="s">
        <v>25</v>
      </c>
      <c r="C259" s="26" t="n">
        <f aca="false">E258+1</f>
        <v>49461</v>
      </c>
      <c r="E259" s="26" t="n">
        <f aca="false">EOMONTH(C259,0)</f>
        <v>49490</v>
      </c>
      <c r="G259" s="15" t="s">
        <v>33</v>
      </c>
      <c r="H259" s="130"/>
      <c r="I259" s="89" t="n">
        <v>0.026145</v>
      </c>
      <c r="J259" s="89" t="n">
        <v>0.026145</v>
      </c>
      <c r="M259" s="15" t="s">
        <v>33</v>
      </c>
      <c r="N259" s="18" t="n">
        <v>0</v>
      </c>
      <c r="O259" s="18" t="n">
        <v>0.026145</v>
      </c>
      <c r="P259" s="18" t="n">
        <v>0.026145</v>
      </c>
    </row>
    <row r="260" customFormat="false" ht="13.8" hidden="true" customHeight="false" outlineLevel="1" collapsed="false">
      <c r="B260" s="15" t="s">
        <v>25</v>
      </c>
      <c r="C260" s="26" t="n">
        <f aca="false">E259+1</f>
        <v>49491</v>
      </c>
      <c r="E260" s="26" t="n">
        <f aca="false">EOMONTH(C260,0)</f>
        <v>49521</v>
      </c>
      <c r="G260" s="15" t="s">
        <v>33</v>
      </c>
      <c r="H260" s="130"/>
      <c r="I260" s="89" t="n">
        <v>0.026145</v>
      </c>
      <c r="J260" s="89" t="n">
        <v>0.026145</v>
      </c>
      <c r="M260" s="15" t="s">
        <v>33</v>
      </c>
      <c r="N260" s="18" t="n">
        <v>0</v>
      </c>
      <c r="O260" s="18" t="n">
        <v>0.026145</v>
      </c>
      <c r="P260" s="18" t="n">
        <v>0.026145</v>
      </c>
    </row>
    <row r="261" customFormat="false" ht="13.8" hidden="true" customHeight="false" outlineLevel="1" collapsed="false">
      <c r="B261" s="15" t="s">
        <v>25</v>
      </c>
      <c r="C261" s="26" t="n">
        <f aca="false">E260+1</f>
        <v>49522</v>
      </c>
      <c r="E261" s="26" t="n">
        <f aca="false">EOMONTH(C261,0)</f>
        <v>49552</v>
      </c>
      <c r="G261" s="15" t="s">
        <v>33</v>
      </c>
      <c r="H261" s="130"/>
      <c r="I261" s="89" t="n">
        <v>0.026145</v>
      </c>
      <c r="J261" s="89" t="n">
        <v>0.026145</v>
      </c>
      <c r="M261" s="15" t="s">
        <v>33</v>
      </c>
      <c r="N261" s="18" t="n">
        <v>0</v>
      </c>
      <c r="O261" s="18" t="n">
        <v>0.026145</v>
      </c>
      <c r="P261" s="18" t="n">
        <v>0.026145</v>
      </c>
    </row>
    <row r="262" customFormat="false" ht="13.8" hidden="true" customHeight="false" outlineLevel="1" collapsed="false">
      <c r="B262" s="15" t="s">
        <v>25</v>
      </c>
      <c r="C262" s="26" t="n">
        <f aca="false">E261+1</f>
        <v>49553</v>
      </c>
      <c r="E262" s="26" t="n">
        <f aca="false">EOMONTH(C262,0)</f>
        <v>49582</v>
      </c>
      <c r="G262" s="15" t="s">
        <v>33</v>
      </c>
      <c r="H262" s="130"/>
      <c r="I262" s="89" t="n">
        <v>0.026145</v>
      </c>
      <c r="J262" s="89" t="n">
        <v>0.026145</v>
      </c>
      <c r="M262" s="15" t="s">
        <v>33</v>
      </c>
      <c r="N262" s="18" t="n">
        <v>0</v>
      </c>
      <c r="O262" s="18" t="n">
        <v>0.026145</v>
      </c>
      <c r="P262" s="18" t="n">
        <v>0.026145</v>
      </c>
    </row>
    <row r="263" customFormat="false" ht="13.8" hidden="true" customHeight="false" outlineLevel="1" collapsed="false">
      <c r="B263" s="15" t="s">
        <v>25</v>
      </c>
      <c r="C263" s="26" t="n">
        <f aca="false">E262+1</f>
        <v>49583</v>
      </c>
      <c r="E263" s="26" t="n">
        <f aca="false">EOMONTH(C263,0)</f>
        <v>49613</v>
      </c>
      <c r="G263" s="15" t="s">
        <v>33</v>
      </c>
      <c r="H263" s="130"/>
      <c r="I263" s="89" t="n">
        <v>0.026145</v>
      </c>
      <c r="J263" s="89" t="n">
        <v>0.026145</v>
      </c>
      <c r="M263" s="15" t="s">
        <v>33</v>
      </c>
      <c r="N263" s="18" t="n">
        <v>0</v>
      </c>
      <c r="O263" s="18" t="n">
        <v>0.026145</v>
      </c>
      <c r="P263" s="18" t="n">
        <v>0.026145</v>
      </c>
    </row>
    <row r="264" customFormat="false" ht="13.8" hidden="true" customHeight="false" outlineLevel="1" collapsed="false">
      <c r="B264" s="15" t="s">
        <v>25</v>
      </c>
      <c r="C264" s="26" t="n">
        <f aca="false">E263+1</f>
        <v>49614</v>
      </c>
      <c r="E264" s="26" t="n">
        <f aca="false">EOMONTH(C264,0)</f>
        <v>49643</v>
      </c>
      <c r="G264" s="15" t="s">
        <v>33</v>
      </c>
      <c r="H264" s="130"/>
      <c r="I264" s="89" t="n">
        <v>0.026145</v>
      </c>
      <c r="J264" s="89" t="n">
        <v>0.026145</v>
      </c>
      <c r="M264" s="15" t="s">
        <v>33</v>
      </c>
      <c r="N264" s="18" t="n">
        <v>0</v>
      </c>
      <c r="O264" s="18" t="n">
        <v>0.026145</v>
      </c>
      <c r="P264" s="18" t="n">
        <v>0.026145</v>
      </c>
    </row>
    <row r="265" customFormat="false" ht="13.8" hidden="true" customHeight="false" outlineLevel="1" collapsed="false">
      <c r="B265" s="15" t="s">
        <v>25</v>
      </c>
      <c r="C265" s="26" t="n">
        <f aca="false">E264+1</f>
        <v>49644</v>
      </c>
      <c r="E265" s="26" t="n">
        <f aca="false">EOMONTH(C265,0)</f>
        <v>49674</v>
      </c>
      <c r="G265" s="15" t="s">
        <v>33</v>
      </c>
      <c r="H265" s="130"/>
      <c r="I265" s="89" t="n">
        <v>0.026145</v>
      </c>
      <c r="J265" s="89" t="n">
        <v>0.026145</v>
      </c>
      <c r="M265" s="15" t="s">
        <v>33</v>
      </c>
      <c r="N265" s="18" t="n">
        <v>0</v>
      </c>
      <c r="O265" s="18" t="n">
        <v>0.026145</v>
      </c>
      <c r="P265" s="18" t="n">
        <v>0.026145</v>
      </c>
    </row>
    <row r="266" customFormat="false" ht="13.8" hidden="true" customHeight="false" outlineLevel="1" collapsed="false">
      <c r="B266" s="15" t="s">
        <v>25</v>
      </c>
      <c r="C266" s="26" t="n">
        <f aca="false">E265+1</f>
        <v>49675</v>
      </c>
      <c r="E266" s="26" t="n">
        <f aca="false">EOMONTH(C266,0)</f>
        <v>49705</v>
      </c>
      <c r="G266" s="15" t="s">
        <v>33</v>
      </c>
      <c r="H266" s="130"/>
      <c r="I266" s="89" t="n">
        <v>0.026145</v>
      </c>
      <c r="J266" s="89" t="n">
        <v>0.026145</v>
      </c>
      <c r="M266" s="15" t="s">
        <v>33</v>
      </c>
      <c r="N266" s="18" t="n">
        <v>0</v>
      </c>
      <c r="O266" s="18" t="n">
        <v>0.026145</v>
      </c>
      <c r="P266" s="18" t="n">
        <v>0.026145</v>
      </c>
    </row>
    <row r="267" customFormat="false" ht="13.8" hidden="true" customHeight="false" outlineLevel="1" collapsed="false">
      <c r="B267" s="15" t="s">
        <v>25</v>
      </c>
      <c r="C267" s="26" t="n">
        <f aca="false">E266+1</f>
        <v>49706</v>
      </c>
      <c r="E267" s="26" t="n">
        <f aca="false">EOMONTH(C267,0)</f>
        <v>49734</v>
      </c>
      <c r="G267" s="15" t="s">
        <v>33</v>
      </c>
      <c r="H267" s="130"/>
      <c r="I267" s="89" t="n">
        <v>0.026145</v>
      </c>
      <c r="J267" s="89" t="n">
        <v>0.026145</v>
      </c>
      <c r="M267" s="15" t="s">
        <v>33</v>
      </c>
      <c r="N267" s="18" t="n">
        <v>0</v>
      </c>
      <c r="O267" s="18" t="n">
        <v>0.026145</v>
      </c>
      <c r="P267" s="18" t="n">
        <v>0.026145</v>
      </c>
    </row>
    <row r="268" customFormat="false" ht="13.8" hidden="true" customHeight="false" outlineLevel="1" collapsed="false">
      <c r="B268" s="15" t="s">
        <v>25</v>
      </c>
      <c r="C268" s="26" t="n">
        <f aca="false">E267+1</f>
        <v>49735</v>
      </c>
      <c r="E268" s="26" t="n">
        <f aca="false">EOMONTH(C268,0)</f>
        <v>49765</v>
      </c>
      <c r="G268" s="15" t="s">
        <v>33</v>
      </c>
      <c r="H268" s="130"/>
      <c r="I268" s="89" t="n">
        <v>0.026145</v>
      </c>
      <c r="J268" s="89" t="n">
        <v>0.026145</v>
      </c>
      <c r="M268" s="15" t="s">
        <v>33</v>
      </c>
      <c r="N268" s="18" t="n">
        <v>0</v>
      </c>
      <c r="O268" s="18" t="n">
        <v>0.026145</v>
      </c>
      <c r="P268" s="18" t="n">
        <v>0.026145</v>
      </c>
    </row>
    <row r="269" customFormat="false" ht="13.8" hidden="true" customHeight="false" outlineLevel="1" collapsed="false">
      <c r="B269" s="15" t="s">
        <v>25</v>
      </c>
      <c r="C269" s="26" t="n">
        <f aca="false">E268+1</f>
        <v>49766</v>
      </c>
      <c r="E269" s="26" t="n">
        <f aca="false">EOMONTH(C269,0)</f>
        <v>49795</v>
      </c>
      <c r="G269" s="15" t="s">
        <v>33</v>
      </c>
      <c r="H269" s="130"/>
      <c r="I269" s="89" t="n">
        <v>0.026145</v>
      </c>
      <c r="J269" s="89" t="n">
        <v>0.026145</v>
      </c>
      <c r="M269" s="15" t="s">
        <v>33</v>
      </c>
      <c r="N269" s="18" t="n">
        <v>0</v>
      </c>
      <c r="O269" s="18" t="n">
        <v>0.026145</v>
      </c>
      <c r="P269" s="18" t="n">
        <v>0.026145</v>
      </c>
    </row>
    <row r="270" customFormat="false" ht="13.8" hidden="true" customHeight="false" outlineLevel="1" collapsed="false">
      <c r="B270" s="15" t="s">
        <v>25</v>
      </c>
      <c r="C270" s="26" t="n">
        <f aca="false">E269+1</f>
        <v>49796</v>
      </c>
      <c r="E270" s="26" t="n">
        <f aca="false">EOMONTH(C270,0)</f>
        <v>49826</v>
      </c>
      <c r="G270" s="15" t="s">
        <v>33</v>
      </c>
      <c r="H270" s="130"/>
      <c r="I270" s="89" t="n">
        <v>0.026145</v>
      </c>
      <c r="J270" s="89" t="n">
        <v>0.026145</v>
      </c>
      <c r="M270" s="15" t="s">
        <v>33</v>
      </c>
      <c r="N270" s="18" t="n">
        <v>0</v>
      </c>
      <c r="O270" s="18" t="n">
        <v>0.026145</v>
      </c>
      <c r="P270" s="18" t="n">
        <v>0.026145</v>
      </c>
    </row>
    <row r="271" customFormat="false" ht="13.8" hidden="true" customHeight="false" outlineLevel="1" collapsed="false">
      <c r="B271" s="15" t="s">
        <v>25</v>
      </c>
      <c r="C271" s="26" t="n">
        <f aca="false">E270+1</f>
        <v>49827</v>
      </c>
      <c r="E271" s="26" t="n">
        <f aca="false">EOMONTH(C271,0)</f>
        <v>49856</v>
      </c>
      <c r="G271" s="15" t="s">
        <v>33</v>
      </c>
      <c r="H271" s="130"/>
      <c r="I271" s="89" t="n">
        <v>0.026145</v>
      </c>
      <c r="J271" s="89" t="n">
        <v>0.026145</v>
      </c>
      <c r="M271" s="15" t="s">
        <v>33</v>
      </c>
      <c r="N271" s="18" t="n">
        <v>0</v>
      </c>
      <c r="O271" s="18" t="n">
        <v>0.026145</v>
      </c>
      <c r="P271" s="18" t="n">
        <v>0.026145</v>
      </c>
    </row>
    <row r="272" customFormat="false" ht="13.8" hidden="true" customHeight="false" outlineLevel="1" collapsed="false">
      <c r="B272" s="15" t="s">
        <v>25</v>
      </c>
      <c r="C272" s="26" t="n">
        <f aca="false">E271+1</f>
        <v>49857</v>
      </c>
      <c r="E272" s="26" t="n">
        <f aca="false">EOMONTH(C272,0)</f>
        <v>49887</v>
      </c>
      <c r="G272" s="15" t="s">
        <v>33</v>
      </c>
      <c r="H272" s="130"/>
      <c r="I272" s="89" t="n">
        <v>0.026145</v>
      </c>
      <c r="J272" s="89" t="n">
        <v>0.026145</v>
      </c>
      <c r="M272" s="15" t="s">
        <v>33</v>
      </c>
      <c r="N272" s="18" t="n">
        <v>0</v>
      </c>
      <c r="O272" s="18" t="n">
        <v>0.026145</v>
      </c>
      <c r="P272" s="18" t="n">
        <v>0.026145</v>
      </c>
    </row>
    <row r="273" customFormat="false" ht="13.8" hidden="true" customHeight="false" outlineLevel="1" collapsed="false">
      <c r="B273" s="15" t="s">
        <v>25</v>
      </c>
      <c r="C273" s="26" t="n">
        <f aca="false">E272+1</f>
        <v>49888</v>
      </c>
      <c r="E273" s="26" t="n">
        <f aca="false">EOMONTH(C273,0)</f>
        <v>49918</v>
      </c>
      <c r="G273" s="15" t="s">
        <v>33</v>
      </c>
      <c r="H273" s="130"/>
      <c r="I273" s="89" t="n">
        <v>0.026145</v>
      </c>
      <c r="J273" s="89" t="n">
        <v>0.026145</v>
      </c>
      <c r="M273" s="15" t="s">
        <v>33</v>
      </c>
      <c r="N273" s="18" t="n">
        <v>0</v>
      </c>
      <c r="O273" s="18" t="n">
        <v>0.026145</v>
      </c>
      <c r="P273" s="18" t="n">
        <v>0.026145</v>
      </c>
    </row>
    <row r="274" customFormat="false" ht="13.8" hidden="true" customHeight="false" outlineLevel="1" collapsed="false">
      <c r="B274" s="15" t="s">
        <v>25</v>
      </c>
      <c r="C274" s="26" t="n">
        <f aca="false">E273+1</f>
        <v>49919</v>
      </c>
      <c r="E274" s="26" t="n">
        <f aca="false">EOMONTH(C274,0)</f>
        <v>49948</v>
      </c>
      <c r="G274" s="15" t="s">
        <v>33</v>
      </c>
      <c r="H274" s="130"/>
      <c r="I274" s="89" t="n">
        <v>0.026145</v>
      </c>
      <c r="J274" s="89" t="n">
        <v>0.026145</v>
      </c>
      <c r="M274" s="15" t="s">
        <v>33</v>
      </c>
      <c r="N274" s="18" t="n">
        <v>0</v>
      </c>
      <c r="O274" s="18" t="n">
        <v>0.026145</v>
      </c>
      <c r="P274" s="18" t="n">
        <v>0.026145</v>
      </c>
    </row>
    <row r="275" customFormat="false" ht="13.8" hidden="true" customHeight="false" outlineLevel="1" collapsed="false">
      <c r="B275" s="15" t="s">
        <v>25</v>
      </c>
      <c r="C275" s="26" t="n">
        <f aca="false">E274+1</f>
        <v>49949</v>
      </c>
      <c r="E275" s="26" t="n">
        <f aca="false">EOMONTH(C275,0)</f>
        <v>49979</v>
      </c>
      <c r="G275" s="15" t="s">
        <v>33</v>
      </c>
      <c r="H275" s="130"/>
      <c r="I275" s="89" t="n">
        <v>0.026145</v>
      </c>
      <c r="J275" s="89" t="n">
        <v>0.026145</v>
      </c>
      <c r="M275" s="15" t="s">
        <v>33</v>
      </c>
      <c r="N275" s="18" t="n">
        <v>0</v>
      </c>
      <c r="O275" s="18" t="n">
        <v>0.026145</v>
      </c>
      <c r="P275" s="18" t="n">
        <v>0.026145</v>
      </c>
    </row>
    <row r="276" customFormat="false" ht="13.8" hidden="true" customHeight="false" outlineLevel="1" collapsed="false">
      <c r="B276" s="15" t="s">
        <v>25</v>
      </c>
      <c r="C276" s="26" t="n">
        <f aca="false">E275+1</f>
        <v>49980</v>
      </c>
      <c r="E276" s="26" t="n">
        <f aca="false">EOMONTH(C276,0)</f>
        <v>50009</v>
      </c>
      <c r="G276" s="15" t="s">
        <v>33</v>
      </c>
      <c r="H276" s="130"/>
      <c r="I276" s="89" t="n">
        <v>0.026145</v>
      </c>
      <c r="J276" s="89" t="n">
        <v>0.026145</v>
      </c>
      <c r="M276" s="15" t="s">
        <v>33</v>
      </c>
      <c r="N276" s="18" t="n">
        <v>0</v>
      </c>
      <c r="O276" s="18" t="n">
        <v>0.026145</v>
      </c>
      <c r="P276" s="18" t="n">
        <v>0.026145</v>
      </c>
    </row>
    <row r="277" customFormat="false" ht="13.8" hidden="true" customHeight="false" outlineLevel="1" collapsed="false">
      <c r="B277" s="15" t="s">
        <v>25</v>
      </c>
      <c r="C277" s="26" t="n">
        <f aca="false">E276+1</f>
        <v>50010</v>
      </c>
      <c r="E277" s="26" t="n">
        <f aca="false">EOMONTH(C277,0)</f>
        <v>50040</v>
      </c>
      <c r="G277" s="15" t="s">
        <v>33</v>
      </c>
      <c r="H277" s="130"/>
      <c r="I277" s="89" t="n">
        <v>0.026145</v>
      </c>
      <c r="J277" s="89" t="n">
        <v>0.026145</v>
      </c>
      <c r="M277" s="15" t="s">
        <v>33</v>
      </c>
      <c r="N277" s="18" t="n">
        <v>0</v>
      </c>
      <c r="O277" s="18" t="n">
        <v>0.026145</v>
      </c>
      <c r="P277" s="18" t="n">
        <v>0.026145</v>
      </c>
    </row>
    <row r="278" customFormat="false" ht="13.8" hidden="true" customHeight="false" outlineLevel="1" collapsed="false">
      <c r="B278" s="15" t="s">
        <v>25</v>
      </c>
      <c r="C278" s="26" t="n">
        <f aca="false">E277+1</f>
        <v>50041</v>
      </c>
      <c r="E278" s="26" t="n">
        <f aca="false">EOMONTH(C278,0)</f>
        <v>50071</v>
      </c>
      <c r="G278" s="15" t="s">
        <v>33</v>
      </c>
      <c r="H278" s="130"/>
      <c r="I278" s="89" t="n">
        <v>0.026145</v>
      </c>
      <c r="J278" s="89" t="n">
        <v>0.026145</v>
      </c>
      <c r="M278" s="15" t="s">
        <v>33</v>
      </c>
      <c r="N278" s="18" t="n">
        <v>0</v>
      </c>
      <c r="O278" s="18" t="n">
        <v>0.026145</v>
      </c>
      <c r="P278" s="18" t="n">
        <v>0.026145</v>
      </c>
    </row>
    <row r="279" customFormat="false" ht="13.8" hidden="true" customHeight="false" outlineLevel="1" collapsed="false">
      <c r="B279" s="15" t="s">
        <v>25</v>
      </c>
      <c r="C279" s="26" t="n">
        <f aca="false">E278+1</f>
        <v>50072</v>
      </c>
      <c r="E279" s="26" t="n">
        <f aca="false">EOMONTH(C279,0)</f>
        <v>50099</v>
      </c>
      <c r="G279" s="15" t="s">
        <v>33</v>
      </c>
      <c r="H279" s="130"/>
      <c r="I279" s="89" t="n">
        <v>0.026145</v>
      </c>
      <c r="J279" s="89" t="n">
        <v>0.026145</v>
      </c>
      <c r="M279" s="15" t="s">
        <v>33</v>
      </c>
      <c r="N279" s="18" t="n">
        <v>0</v>
      </c>
      <c r="O279" s="18" t="n">
        <v>0.026145</v>
      </c>
      <c r="P279" s="18" t="n">
        <v>0.026145</v>
      </c>
    </row>
    <row r="280" customFormat="false" ht="13.8" hidden="true" customHeight="false" outlineLevel="1" collapsed="false">
      <c r="B280" s="15" t="s">
        <v>25</v>
      </c>
      <c r="C280" s="26" t="n">
        <f aca="false">E279+1</f>
        <v>50100</v>
      </c>
      <c r="E280" s="26" t="n">
        <f aca="false">EOMONTH(C280,0)</f>
        <v>50130</v>
      </c>
      <c r="G280" s="15" t="s">
        <v>33</v>
      </c>
      <c r="H280" s="130"/>
      <c r="I280" s="89" t="n">
        <v>0.026145</v>
      </c>
      <c r="J280" s="89" t="n">
        <v>0.026145</v>
      </c>
      <c r="M280" s="15" t="s">
        <v>33</v>
      </c>
      <c r="N280" s="18" t="n">
        <v>0</v>
      </c>
      <c r="O280" s="18" t="n">
        <v>0.026145</v>
      </c>
      <c r="P280" s="18" t="n">
        <v>0.026145</v>
      </c>
    </row>
    <row r="281" customFormat="false" ht="13.8" hidden="true" customHeight="false" outlineLevel="1" collapsed="false">
      <c r="B281" s="15" t="s">
        <v>25</v>
      </c>
      <c r="C281" s="26" t="n">
        <f aca="false">E280+1</f>
        <v>50131</v>
      </c>
      <c r="E281" s="26" t="n">
        <f aca="false">EOMONTH(C281,0)</f>
        <v>50160</v>
      </c>
      <c r="G281" s="15" t="s">
        <v>33</v>
      </c>
      <c r="H281" s="130"/>
      <c r="I281" s="89" t="n">
        <v>0.026145</v>
      </c>
      <c r="J281" s="89" t="n">
        <v>0.026145</v>
      </c>
      <c r="M281" s="15" t="s">
        <v>33</v>
      </c>
      <c r="N281" s="18" t="n">
        <v>0</v>
      </c>
      <c r="O281" s="18" t="n">
        <v>0.026145</v>
      </c>
      <c r="P281" s="18" t="n">
        <v>0.026145</v>
      </c>
    </row>
    <row r="282" customFormat="false" ht="13.8" hidden="true" customHeight="false" outlineLevel="1" collapsed="false">
      <c r="B282" s="15" t="s">
        <v>25</v>
      </c>
      <c r="C282" s="26" t="n">
        <f aca="false">E281+1</f>
        <v>50161</v>
      </c>
      <c r="E282" s="26" t="n">
        <f aca="false">EOMONTH(C282,0)</f>
        <v>50191</v>
      </c>
      <c r="G282" s="15" t="s">
        <v>33</v>
      </c>
      <c r="H282" s="130"/>
      <c r="I282" s="89" t="n">
        <v>0.026145</v>
      </c>
      <c r="J282" s="89" t="n">
        <v>0.026145</v>
      </c>
      <c r="M282" s="15" t="s">
        <v>33</v>
      </c>
      <c r="N282" s="18" t="n">
        <v>0</v>
      </c>
      <c r="O282" s="18" t="n">
        <v>0.026145</v>
      </c>
      <c r="P282" s="18" t="n">
        <v>0.026145</v>
      </c>
    </row>
    <row r="283" customFormat="false" ht="13.8" hidden="true" customHeight="false" outlineLevel="1" collapsed="false">
      <c r="B283" s="15" t="s">
        <v>25</v>
      </c>
      <c r="C283" s="26" t="n">
        <f aca="false">E282+1</f>
        <v>50192</v>
      </c>
      <c r="E283" s="26" t="n">
        <f aca="false">EOMONTH(C283,0)</f>
        <v>50221</v>
      </c>
      <c r="G283" s="15" t="s">
        <v>33</v>
      </c>
      <c r="H283" s="130"/>
      <c r="I283" s="89" t="n">
        <v>0.026145</v>
      </c>
      <c r="J283" s="89" t="n">
        <v>0.026145</v>
      </c>
      <c r="M283" s="15" t="s">
        <v>33</v>
      </c>
      <c r="N283" s="18" t="n">
        <v>0</v>
      </c>
      <c r="O283" s="18" t="n">
        <v>0.026145</v>
      </c>
      <c r="P283" s="18" t="n">
        <v>0.026145</v>
      </c>
    </row>
    <row r="284" customFormat="false" ht="13.8" hidden="true" customHeight="false" outlineLevel="1" collapsed="false">
      <c r="B284" s="15" t="s">
        <v>25</v>
      </c>
      <c r="C284" s="26" t="n">
        <f aca="false">E283+1</f>
        <v>50222</v>
      </c>
      <c r="E284" s="26" t="n">
        <f aca="false">EOMONTH(C284,0)</f>
        <v>50252</v>
      </c>
      <c r="G284" s="15" t="s">
        <v>33</v>
      </c>
      <c r="H284" s="130"/>
      <c r="I284" s="89" t="n">
        <v>0.026145</v>
      </c>
      <c r="J284" s="89" t="n">
        <v>0.026145</v>
      </c>
      <c r="M284" s="15" t="s">
        <v>33</v>
      </c>
      <c r="N284" s="18" t="n">
        <v>0</v>
      </c>
      <c r="O284" s="18" t="n">
        <v>0.026145</v>
      </c>
      <c r="P284" s="18" t="n">
        <v>0.026145</v>
      </c>
    </row>
    <row r="285" customFormat="false" ht="13.8" hidden="true" customHeight="false" outlineLevel="1" collapsed="false">
      <c r="B285" s="15" t="s">
        <v>25</v>
      </c>
      <c r="C285" s="26" t="n">
        <f aca="false">E284+1</f>
        <v>50253</v>
      </c>
      <c r="E285" s="26" t="n">
        <f aca="false">EOMONTH(C285,0)</f>
        <v>50283</v>
      </c>
      <c r="G285" s="15" t="s">
        <v>33</v>
      </c>
      <c r="H285" s="130"/>
      <c r="I285" s="89" t="n">
        <v>0.026145</v>
      </c>
      <c r="J285" s="89" t="n">
        <v>0.026145</v>
      </c>
      <c r="M285" s="15" t="s">
        <v>33</v>
      </c>
      <c r="N285" s="18" t="n">
        <v>0</v>
      </c>
      <c r="O285" s="18" t="n">
        <v>0.026145</v>
      </c>
      <c r="P285" s="18" t="n">
        <v>0.026145</v>
      </c>
    </row>
    <row r="286" customFormat="false" ht="13.8" hidden="true" customHeight="false" outlineLevel="1" collapsed="false">
      <c r="B286" s="15" t="s">
        <v>25</v>
      </c>
      <c r="C286" s="26" t="n">
        <f aca="false">E285+1</f>
        <v>50284</v>
      </c>
      <c r="E286" s="26" t="n">
        <f aca="false">EOMONTH(C286,0)</f>
        <v>50313</v>
      </c>
      <c r="G286" s="15" t="s">
        <v>33</v>
      </c>
      <c r="H286" s="130"/>
      <c r="I286" s="89" t="n">
        <v>0.026145</v>
      </c>
      <c r="J286" s="89" t="n">
        <v>0.026145</v>
      </c>
      <c r="M286" s="15" t="s">
        <v>33</v>
      </c>
      <c r="N286" s="18" t="n">
        <v>0</v>
      </c>
      <c r="O286" s="18" t="n">
        <v>0.026145</v>
      </c>
      <c r="P286" s="18" t="n">
        <v>0.026145</v>
      </c>
    </row>
    <row r="287" customFormat="false" ht="13.8" hidden="true" customHeight="false" outlineLevel="1" collapsed="false">
      <c r="B287" s="15" t="s">
        <v>25</v>
      </c>
      <c r="C287" s="26" t="n">
        <f aca="false">E286+1</f>
        <v>50314</v>
      </c>
      <c r="E287" s="26" t="n">
        <f aca="false">EOMONTH(C287,0)</f>
        <v>50344</v>
      </c>
      <c r="G287" s="15" t="s">
        <v>33</v>
      </c>
      <c r="H287" s="130"/>
      <c r="I287" s="89" t="n">
        <v>0.026145</v>
      </c>
      <c r="J287" s="89" t="n">
        <v>0.026145</v>
      </c>
      <c r="M287" s="15" t="s">
        <v>33</v>
      </c>
      <c r="N287" s="18" t="n">
        <v>0</v>
      </c>
      <c r="O287" s="18" t="n">
        <v>0.026145</v>
      </c>
      <c r="P287" s="18" t="n">
        <v>0.026145</v>
      </c>
    </row>
    <row r="288" customFormat="false" ht="13.8" hidden="true" customHeight="false" outlineLevel="1" collapsed="false">
      <c r="B288" s="15" t="s">
        <v>25</v>
      </c>
      <c r="C288" s="26" t="n">
        <f aca="false">E287+1</f>
        <v>50345</v>
      </c>
      <c r="E288" s="26" t="n">
        <f aca="false">EOMONTH(C288,0)</f>
        <v>50374</v>
      </c>
      <c r="G288" s="15" t="s">
        <v>33</v>
      </c>
      <c r="H288" s="130"/>
      <c r="I288" s="89" t="n">
        <v>0.026145</v>
      </c>
      <c r="J288" s="89" t="n">
        <v>0.026145</v>
      </c>
      <c r="M288" s="15" t="s">
        <v>33</v>
      </c>
      <c r="N288" s="18" t="n">
        <v>0</v>
      </c>
      <c r="O288" s="18" t="n">
        <v>0.026145</v>
      </c>
      <c r="P288" s="18" t="n">
        <v>0.026145</v>
      </c>
    </row>
    <row r="289" customFormat="false" ht="13.8" hidden="true" customHeight="false" outlineLevel="1" collapsed="false">
      <c r="B289" s="15" t="s">
        <v>25</v>
      </c>
      <c r="C289" s="26" t="n">
        <f aca="false">E288+1</f>
        <v>50375</v>
      </c>
      <c r="E289" s="26" t="n">
        <f aca="false">EOMONTH(C289,0)</f>
        <v>50405</v>
      </c>
      <c r="G289" s="15" t="s">
        <v>33</v>
      </c>
      <c r="H289" s="130"/>
      <c r="I289" s="89" t="n">
        <v>0.026145</v>
      </c>
      <c r="J289" s="89" t="n">
        <v>0.026145</v>
      </c>
      <c r="M289" s="15" t="s">
        <v>33</v>
      </c>
      <c r="N289" s="18" t="n">
        <v>0</v>
      </c>
      <c r="O289" s="18" t="n">
        <v>0.026145</v>
      </c>
      <c r="P289" s="18" t="n">
        <v>0.026145</v>
      </c>
    </row>
    <row r="290" customFormat="false" ht="13.8" hidden="true" customHeight="false" outlineLevel="1" collapsed="false">
      <c r="B290" s="15" t="s">
        <v>25</v>
      </c>
      <c r="C290" s="26" t="n">
        <f aca="false">E289+1</f>
        <v>50406</v>
      </c>
      <c r="E290" s="26" t="n">
        <f aca="false">EOMONTH(C290,0)</f>
        <v>50436</v>
      </c>
      <c r="G290" s="15" t="s">
        <v>33</v>
      </c>
      <c r="H290" s="130"/>
      <c r="I290" s="89" t="n">
        <v>0.026145</v>
      </c>
      <c r="J290" s="89" t="n">
        <v>0.026145</v>
      </c>
      <c r="M290" s="15" t="s">
        <v>33</v>
      </c>
      <c r="N290" s="18" t="n">
        <v>0</v>
      </c>
      <c r="O290" s="18" t="n">
        <v>0.026145</v>
      </c>
      <c r="P290" s="18" t="n">
        <v>0.026145</v>
      </c>
    </row>
    <row r="291" customFormat="false" ht="13.8" hidden="true" customHeight="false" outlineLevel="1" collapsed="false">
      <c r="B291" s="15" t="s">
        <v>25</v>
      </c>
      <c r="C291" s="26" t="n">
        <f aca="false">E290+1</f>
        <v>50437</v>
      </c>
      <c r="E291" s="26" t="n">
        <f aca="false">EOMONTH(C291,0)</f>
        <v>50464</v>
      </c>
      <c r="G291" s="15" t="s">
        <v>33</v>
      </c>
      <c r="H291" s="130"/>
      <c r="I291" s="89" t="n">
        <v>0.026145</v>
      </c>
      <c r="J291" s="89" t="n">
        <v>0.026145</v>
      </c>
      <c r="M291" s="15" t="s">
        <v>33</v>
      </c>
      <c r="N291" s="18" t="n">
        <v>0</v>
      </c>
      <c r="O291" s="18" t="n">
        <v>0.026145</v>
      </c>
      <c r="P291" s="18" t="n">
        <v>0.026145</v>
      </c>
    </row>
    <row r="292" customFormat="false" ht="13.8" hidden="true" customHeight="false" outlineLevel="1" collapsed="false">
      <c r="B292" s="15" t="s">
        <v>25</v>
      </c>
      <c r="C292" s="26" t="n">
        <f aca="false">E291+1</f>
        <v>50465</v>
      </c>
      <c r="E292" s="26" t="n">
        <f aca="false">EOMONTH(C292,0)</f>
        <v>50495</v>
      </c>
      <c r="G292" s="15" t="s">
        <v>33</v>
      </c>
      <c r="H292" s="130"/>
      <c r="I292" s="89" t="n">
        <v>0.026145</v>
      </c>
      <c r="J292" s="89" t="n">
        <v>0.026145</v>
      </c>
      <c r="M292" s="15" t="s">
        <v>33</v>
      </c>
      <c r="N292" s="18" t="n">
        <v>0</v>
      </c>
      <c r="O292" s="18" t="n">
        <v>0.026145</v>
      </c>
      <c r="P292" s="18" t="n">
        <v>0.026145</v>
      </c>
    </row>
    <row r="293" customFormat="false" ht="13.8" hidden="true" customHeight="false" outlineLevel="1" collapsed="false">
      <c r="B293" s="15" t="s">
        <v>25</v>
      </c>
      <c r="C293" s="26" t="n">
        <f aca="false">E292+1</f>
        <v>50496</v>
      </c>
      <c r="E293" s="26" t="n">
        <f aca="false">EOMONTH(C293,0)</f>
        <v>50525</v>
      </c>
      <c r="G293" s="15" t="s">
        <v>33</v>
      </c>
      <c r="H293" s="130"/>
      <c r="I293" s="89" t="n">
        <v>0.026145</v>
      </c>
      <c r="J293" s="89" t="n">
        <v>0.026145</v>
      </c>
      <c r="M293" s="15" t="s">
        <v>33</v>
      </c>
      <c r="N293" s="18" t="n">
        <v>0</v>
      </c>
      <c r="O293" s="18" t="n">
        <v>0.026145</v>
      </c>
      <c r="P293" s="18" t="n">
        <v>0.026145</v>
      </c>
    </row>
    <row r="294" customFormat="false" ht="13.8" hidden="true" customHeight="false" outlineLevel="1" collapsed="false">
      <c r="B294" s="15" t="s">
        <v>25</v>
      </c>
      <c r="C294" s="26" t="n">
        <f aca="false">E293+1</f>
        <v>50526</v>
      </c>
      <c r="E294" s="26" t="n">
        <f aca="false">EOMONTH(C294,0)</f>
        <v>50556</v>
      </c>
      <c r="G294" s="15" t="s">
        <v>33</v>
      </c>
      <c r="H294" s="130"/>
      <c r="I294" s="89" t="n">
        <v>0.026145</v>
      </c>
      <c r="J294" s="89" t="n">
        <v>0.026145</v>
      </c>
      <c r="M294" s="15" t="s">
        <v>33</v>
      </c>
      <c r="N294" s="18" t="n">
        <v>0</v>
      </c>
      <c r="O294" s="18" t="n">
        <v>0.026145</v>
      </c>
      <c r="P294" s="18" t="n">
        <v>0.026145</v>
      </c>
    </row>
    <row r="295" customFormat="false" ht="13.8" hidden="true" customHeight="false" outlineLevel="1" collapsed="false">
      <c r="B295" s="15" t="s">
        <v>25</v>
      </c>
      <c r="C295" s="26" t="n">
        <f aca="false">E294+1</f>
        <v>50557</v>
      </c>
      <c r="E295" s="26" t="n">
        <f aca="false">EOMONTH(C295,0)</f>
        <v>50586</v>
      </c>
      <c r="G295" s="15" t="s">
        <v>33</v>
      </c>
      <c r="H295" s="130"/>
      <c r="I295" s="89" t="n">
        <v>0.026145</v>
      </c>
      <c r="J295" s="89" t="n">
        <v>0.026145</v>
      </c>
      <c r="M295" s="15" t="s">
        <v>33</v>
      </c>
      <c r="N295" s="18" t="n">
        <v>0</v>
      </c>
      <c r="O295" s="18" t="n">
        <v>0.026145</v>
      </c>
      <c r="P295" s="18" t="n">
        <v>0.026145</v>
      </c>
    </row>
    <row r="296" customFormat="false" ht="13.8" hidden="true" customHeight="false" outlineLevel="1" collapsed="false">
      <c r="B296" s="15" t="s">
        <v>25</v>
      </c>
      <c r="C296" s="26" t="n">
        <f aca="false">E295+1</f>
        <v>50587</v>
      </c>
      <c r="E296" s="26" t="n">
        <f aca="false">EOMONTH(C296,0)</f>
        <v>50617</v>
      </c>
      <c r="G296" s="15" t="s">
        <v>33</v>
      </c>
      <c r="H296" s="130"/>
      <c r="I296" s="89" t="n">
        <v>0.026145</v>
      </c>
      <c r="J296" s="89" t="n">
        <v>0.026145</v>
      </c>
      <c r="M296" s="15" t="s">
        <v>33</v>
      </c>
      <c r="N296" s="18" t="n">
        <v>0</v>
      </c>
      <c r="O296" s="18" t="n">
        <v>0.026145</v>
      </c>
      <c r="P296" s="18" t="n">
        <v>0.026145</v>
      </c>
    </row>
    <row r="297" customFormat="false" ht="13.8" hidden="true" customHeight="false" outlineLevel="1" collapsed="false">
      <c r="B297" s="15" t="s">
        <v>25</v>
      </c>
      <c r="C297" s="26" t="n">
        <f aca="false">E296+1</f>
        <v>50618</v>
      </c>
      <c r="E297" s="26" t="n">
        <f aca="false">EOMONTH(C297,0)</f>
        <v>50648</v>
      </c>
      <c r="G297" s="15" t="s">
        <v>33</v>
      </c>
      <c r="H297" s="130"/>
      <c r="I297" s="89" t="n">
        <v>0.026145</v>
      </c>
      <c r="J297" s="89" t="n">
        <v>0.026145</v>
      </c>
      <c r="M297" s="15" t="s">
        <v>33</v>
      </c>
      <c r="N297" s="18" t="n">
        <v>0</v>
      </c>
      <c r="O297" s="18" t="n">
        <v>0.026145</v>
      </c>
      <c r="P297" s="18" t="n">
        <v>0.026145</v>
      </c>
    </row>
    <row r="298" customFormat="false" ht="13.8" hidden="true" customHeight="false" outlineLevel="1" collapsed="false">
      <c r="B298" s="15" t="s">
        <v>25</v>
      </c>
      <c r="C298" s="26" t="n">
        <f aca="false">E297+1</f>
        <v>50649</v>
      </c>
      <c r="E298" s="26" t="n">
        <f aca="false">EOMONTH(C298,0)</f>
        <v>50678</v>
      </c>
      <c r="G298" s="15" t="s">
        <v>33</v>
      </c>
      <c r="H298" s="130"/>
      <c r="I298" s="89" t="n">
        <v>0.026145</v>
      </c>
      <c r="J298" s="89" t="n">
        <v>0.026145</v>
      </c>
      <c r="M298" s="15" t="s">
        <v>33</v>
      </c>
      <c r="N298" s="18" t="n">
        <v>0</v>
      </c>
      <c r="O298" s="18" t="n">
        <v>0.026145</v>
      </c>
      <c r="P298" s="18" t="n">
        <v>0.026145</v>
      </c>
    </row>
    <row r="299" customFormat="false" ht="13.8" hidden="true" customHeight="false" outlineLevel="1" collapsed="false">
      <c r="B299" s="15" t="s">
        <v>25</v>
      </c>
      <c r="C299" s="26" t="n">
        <f aca="false">E298+1</f>
        <v>50679</v>
      </c>
      <c r="E299" s="26" t="n">
        <f aca="false">EOMONTH(C299,0)</f>
        <v>50709</v>
      </c>
      <c r="G299" s="15" t="s">
        <v>33</v>
      </c>
      <c r="H299" s="130"/>
      <c r="I299" s="89" t="n">
        <v>0.026145</v>
      </c>
      <c r="J299" s="89" t="n">
        <v>0.026145</v>
      </c>
      <c r="M299" s="15" t="s">
        <v>33</v>
      </c>
      <c r="N299" s="18" t="n">
        <v>0</v>
      </c>
      <c r="O299" s="18" t="n">
        <v>0.026145</v>
      </c>
      <c r="P299" s="18" t="n">
        <v>0.026145</v>
      </c>
    </row>
    <row r="300" customFormat="false" ht="13.8" hidden="true" customHeight="false" outlineLevel="1" collapsed="false">
      <c r="B300" s="15" t="s">
        <v>25</v>
      </c>
      <c r="C300" s="26" t="n">
        <f aca="false">E299+1</f>
        <v>50710</v>
      </c>
      <c r="E300" s="26" t="n">
        <f aca="false">EOMONTH(C300,0)</f>
        <v>50739</v>
      </c>
      <c r="G300" s="15" t="s">
        <v>33</v>
      </c>
      <c r="H300" s="130"/>
      <c r="I300" s="89" t="n">
        <v>0.026145</v>
      </c>
      <c r="J300" s="89" t="n">
        <v>0.026145</v>
      </c>
      <c r="M300" s="15" t="s">
        <v>33</v>
      </c>
      <c r="N300" s="18" t="n">
        <v>0</v>
      </c>
      <c r="O300" s="18" t="n">
        <v>0.026145</v>
      </c>
      <c r="P300" s="18" t="n">
        <v>0.026145</v>
      </c>
    </row>
    <row r="301" customFormat="false" ht="13.8" hidden="true" customHeight="false" outlineLevel="1" collapsed="false">
      <c r="B301" s="15" t="s">
        <v>25</v>
      </c>
      <c r="C301" s="26" t="n">
        <f aca="false">E300+1</f>
        <v>50740</v>
      </c>
      <c r="E301" s="26" t="n">
        <f aca="false">EOMONTH(C301,0)</f>
        <v>50770</v>
      </c>
      <c r="G301" s="15" t="s">
        <v>33</v>
      </c>
      <c r="H301" s="130"/>
      <c r="I301" s="89" t="n">
        <v>0.026145</v>
      </c>
      <c r="J301" s="89" t="n">
        <v>0.026145</v>
      </c>
      <c r="M301" s="15" t="s">
        <v>33</v>
      </c>
      <c r="N301" s="18" t="n">
        <v>0</v>
      </c>
      <c r="O301" s="18" t="n">
        <v>0.026145</v>
      </c>
      <c r="P301" s="18" t="n">
        <v>0.026145</v>
      </c>
    </row>
    <row r="302" customFormat="false" ht="13.8" hidden="true" customHeight="false" outlineLevel="1" collapsed="false">
      <c r="B302" s="15" t="s">
        <v>25</v>
      </c>
      <c r="C302" s="26" t="n">
        <f aca="false">E301+1</f>
        <v>50771</v>
      </c>
      <c r="E302" s="26" t="n">
        <f aca="false">EOMONTH(C302,0)</f>
        <v>50801</v>
      </c>
      <c r="G302" s="15" t="s">
        <v>33</v>
      </c>
      <c r="H302" s="130"/>
      <c r="I302" s="89" t="n">
        <v>0.026145</v>
      </c>
      <c r="J302" s="89" t="n">
        <v>0.026145</v>
      </c>
      <c r="M302" s="15" t="s">
        <v>33</v>
      </c>
      <c r="N302" s="18" t="n">
        <v>0</v>
      </c>
      <c r="O302" s="18" t="n">
        <v>0.026145</v>
      </c>
      <c r="P302" s="18" t="n">
        <v>0.026145</v>
      </c>
    </row>
    <row r="303" customFormat="false" ht="13.8" hidden="true" customHeight="false" outlineLevel="1" collapsed="false">
      <c r="B303" s="15" t="s">
        <v>25</v>
      </c>
      <c r="C303" s="26" t="n">
        <f aca="false">E302+1</f>
        <v>50802</v>
      </c>
      <c r="E303" s="26" t="n">
        <f aca="false">EOMONTH(C303,0)</f>
        <v>50829</v>
      </c>
      <c r="G303" s="15" t="s">
        <v>33</v>
      </c>
      <c r="H303" s="130"/>
      <c r="I303" s="89" t="n">
        <v>0.026145</v>
      </c>
      <c r="J303" s="89" t="n">
        <v>0.026145</v>
      </c>
      <c r="M303" s="15" t="s">
        <v>33</v>
      </c>
      <c r="N303" s="18" t="n">
        <v>0</v>
      </c>
      <c r="O303" s="18" t="n">
        <v>0.026145</v>
      </c>
      <c r="P303" s="18" t="n">
        <v>0.026145</v>
      </c>
    </row>
    <row r="304" customFormat="false" ht="13.8" hidden="true" customHeight="false" outlineLevel="1" collapsed="false">
      <c r="B304" s="15" t="s">
        <v>25</v>
      </c>
      <c r="C304" s="26" t="n">
        <f aca="false">E303+1</f>
        <v>50830</v>
      </c>
      <c r="E304" s="26" t="n">
        <f aca="false">EOMONTH(C304,0)</f>
        <v>50860</v>
      </c>
      <c r="G304" s="15" t="s">
        <v>33</v>
      </c>
      <c r="H304" s="130"/>
      <c r="I304" s="89" t="n">
        <v>0.026145</v>
      </c>
      <c r="J304" s="89" t="n">
        <v>0.026145</v>
      </c>
      <c r="M304" s="15" t="s">
        <v>33</v>
      </c>
      <c r="N304" s="18" t="n">
        <v>0</v>
      </c>
      <c r="O304" s="18" t="n">
        <v>0.026145</v>
      </c>
      <c r="P304" s="18" t="n">
        <v>0.026145</v>
      </c>
    </row>
    <row r="305" customFormat="false" ht="13.8" hidden="true" customHeight="false" outlineLevel="1" collapsed="false">
      <c r="B305" s="15" t="s">
        <v>25</v>
      </c>
      <c r="C305" s="26" t="n">
        <f aca="false">E304+1</f>
        <v>50861</v>
      </c>
      <c r="E305" s="26" t="n">
        <f aca="false">EOMONTH(C305,0)</f>
        <v>50890</v>
      </c>
      <c r="G305" s="15" t="s">
        <v>33</v>
      </c>
      <c r="H305" s="130"/>
      <c r="I305" s="89" t="n">
        <v>0.026145</v>
      </c>
      <c r="J305" s="89" t="n">
        <v>0.026145</v>
      </c>
      <c r="M305" s="15" t="s">
        <v>33</v>
      </c>
      <c r="N305" s="18" t="n">
        <v>0</v>
      </c>
      <c r="O305" s="18" t="n">
        <v>0.026145</v>
      </c>
      <c r="P305" s="18" t="n">
        <v>0.026145</v>
      </c>
    </row>
    <row r="306" customFormat="false" ht="13.8" hidden="true" customHeight="false" outlineLevel="1" collapsed="false">
      <c r="B306" s="15" t="s">
        <v>25</v>
      </c>
      <c r="C306" s="26" t="n">
        <f aca="false">E305+1</f>
        <v>50891</v>
      </c>
      <c r="E306" s="26" t="n">
        <f aca="false">EOMONTH(C306,0)</f>
        <v>50921</v>
      </c>
      <c r="G306" s="15" t="s">
        <v>33</v>
      </c>
      <c r="H306" s="130"/>
      <c r="I306" s="89" t="n">
        <v>0.026145</v>
      </c>
      <c r="J306" s="89" t="n">
        <v>0.026145</v>
      </c>
      <c r="M306" s="15" t="s">
        <v>33</v>
      </c>
      <c r="N306" s="18" t="n">
        <v>0</v>
      </c>
      <c r="O306" s="18" t="n">
        <v>0.026145</v>
      </c>
      <c r="P306" s="18" t="n">
        <v>0.026145</v>
      </c>
    </row>
    <row r="307" customFormat="false" ht="13.8" hidden="true" customHeight="false" outlineLevel="1" collapsed="false">
      <c r="B307" s="15" t="s">
        <v>25</v>
      </c>
      <c r="C307" s="26" t="n">
        <f aca="false">E306+1</f>
        <v>50922</v>
      </c>
      <c r="E307" s="26" t="n">
        <f aca="false">EOMONTH(C307,0)</f>
        <v>50951</v>
      </c>
      <c r="G307" s="15" t="s">
        <v>33</v>
      </c>
      <c r="H307" s="130"/>
      <c r="I307" s="89" t="n">
        <v>0.026145</v>
      </c>
      <c r="J307" s="89" t="n">
        <v>0.026145</v>
      </c>
      <c r="M307" s="15" t="s">
        <v>33</v>
      </c>
      <c r="N307" s="18" t="n">
        <v>0</v>
      </c>
      <c r="O307" s="18" t="n">
        <v>0.026145</v>
      </c>
      <c r="P307" s="18" t="n">
        <v>0.026145</v>
      </c>
    </row>
    <row r="308" customFormat="false" ht="13.8" hidden="true" customHeight="false" outlineLevel="1" collapsed="false">
      <c r="B308" s="15" t="s">
        <v>25</v>
      </c>
      <c r="C308" s="26" t="n">
        <f aca="false">E307+1</f>
        <v>50952</v>
      </c>
      <c r="E308" s="26" t="n">
        <f aca="false">EOMONTH(C308,0)</f>
        <v>50982</v>
      </c>
      <c r="G308" s="15" t="s">
        <v>33</v>
      </c>
      <c r="H308" s="130"/>
      <c r="I308" s="89" t="n">
        <v>0.026145</v>
      </c>
      <c r="J308" s="89" t="n">
        <v>0.026145</v>
      </c>
      <c r="M308" s="15" t="s">
        <v>33</v>
      </c>
      <c r="N308" s="18" t="n">
        <v>0</v>
      </c>
      <c r="O308" s="18" t="n">
        <v>0.026145</v>
      </c>
      <c r="P308" s="18" t="n">
        <v>0.026145</v>
      </c>
    </row>
    <row r="309" customFormat="false" ht="13.8" hidden="true" customHeight="false" outlineLevel="1" collapsed="false">
      <c r="B309" s="15" t="s">
        <v>25</v>
      </c>
      <c r="C309" s="26" t="n">
        <f aca="false">E308+1</f>
        <v>50983</v>
      </c>
      <c r="E309" s="26" t="n">
        <f aca="false">EOMONTH(C309,0)</f>
        <v>51013</v>
      </c>
      <c r="G309" s="15" t="s">
        <v>33</v>
      </c>
      <c r="H309" s="130"/>
      <c r="I309" s="89" t="n">
        <v>0.026145</v>
      </c>
      <c r="J309" s="89" t="n">
        <v>0.026145</v>
      </c>
      <c r="M309" s="15" t="s">
        <v>33</v>
      </c>
      <c r="N309" s="18" t="n">
        <v>0</v>
      </c>
      <c r="O309" s="18" t="n">
        <v>0.026145</v>
      </c>
      <c r="P309" s="18" t="n">
        <v>0.026145</v>
      </c>
    </row>
    <row r="310" customFormat="false" ht="13.8" hidden="true" customHeight="false" outlineLevel="1" collapsed="false">
      <c r="B310" s="15" t="s">
        <v>25</v>
      </c>
      <c r="C310" s="26" t="n">
        <f aca="false">E309+1</f>
        <v>51014</v>
      </c>
      <c r="E310" s="26" t="n">
        <f aca="false">EOMONTH(C310,0)</f>
        <v>51043</v>
      </c>
      <c r="G310" s="15" t="s">
        <v>33</v>
      </c>
      <c r="H310" s="130"/>
      <c r="I310" s="89" t="n">
        <v>0.026145</v>
      </c>
      <c r="J310" s="89" t="n">
        <v>0.026145</v>
      </c>
      <c r="M310" s="15" t="s">
        <v>33</v>
      </c>
      <c r="N310" s="18" t="n">
        <v>0</v>
      </c>
      <c r="O310" s="18" t="n">
        <v>0.026145</v>
      </c>
      <c r="P310" s="18" t="n">
        <v>0.026145</v>
      </c>
    </row>
    <row r="311" customFormat="false" ht="13.8" hidden="true" customHeight="false" outlineLevel="1" collapsed="false">
      <c r="B311" s="15" t="s">
        <v>25</v>
      </c>
      <c r="C311" s="26" t="n">
        <f aca="false">E310+1</f>
        <v>51044</v>
      </c>
      <c r="E311" s="26" t="n">
        <f aca="false">EOMONTH(C311,0)</f>
        <v>51074</v>
      </c>
      <c r="G311" s="15" t="s">
        <v>33</v>
      </c>
      <c r="H311" s="130"/>
      <c r="I311" s="89" t="n">
        <v>0.026145</v>
      </c>
      <c r="J311" s="89" t="n">
        <v>0.026145</v>
      </c>
      <c r="M311" s="15" t="s">
        <v>33</v>
      </c>
      <c r="N311" s="18" t="n">
        <v>0</v>
      </c>
      <c r="O311" s="18" t="n">
        <v>0.026145</v>
      </c>
      <c r="P311" s="18" t="n">
        <v>0.026145</v>
      </c>
    </row>
    <row r="312" customFormat="false" ht="13.8" hidden="true" customHeight="false" outlineLevel="1" collapsed="false">
      <c r="B312" s="15" t="s">
        <v>25</v>
      </c>
      <c r="C312" s="26" t="n">
        <f aca="false">E311+1</f>
        <v>51075</v>
      </c>
      <c r="E312" s="26" t="n">
        <f aca="false">EOMONTH(C312,0)</f>
        <v>51104</v>
      </c>
      <c r="G312" s="15" t="s">
        <v>33</v>
      </c>
      <c r="H312" s="130"/>
      <c r="I312" s="89" t="n">
        <v>0.026145</v>
      </c>
      <c r="J312" s="89" t="n">
        <v>0.026145</v>
      </c>
      <c r="M312" s="15" t="s">
        <v>33</v>
      </c>
      <c r="N312" s="18" t="n">
        <v>0</v>
      </c>
      <c r="O312" s="18" t="n">
        <v>0.026145</v>
      </c>
      <c r="P312" s="18" t="n">
        <v>0.026145</v>
      </c>
    </row>
    <row r="313" customFormat="false" ht="13.8" hidden="true" customHeight="false" outlineLevel="1" collapsed="false">
      <c r="B313" s="15" t="s">
        <v>25</v>
      </c>
      <c r="C313" s="26" t="n">
        <f aca="false">E312+1</f>
        <v>51105</v>
      </c>
      <c r="E313" s="26" t="n">
        <f aca="false">EOMONTH(C313,0)</f>
        <v>51135</v>
      </c>
      <c r="G313" s="15" t="s">
        <v>33</v>
      </c>
      <c r="H313" s="130"/>
      <c r="I313" s="89" t="n">
        <v>0.026145</v>
      </c>
      <c r="J313" s="89" t="n">
        <v>0.026145</v>
      </c>
      <c r="M313" s="15" t="s">
        <v>33</v>
      </c>
      <c r="N313" s="18" t="n">
        <v>0</v>
      </c>
      <c r="O313" s="18" t="n">
        <v>0.026145</v>
      </c>
      <c r="P313" s="18" t="n">
        <v>0.026145</v>
      </c>
    </row>
    <row r="314" customFormat="false" ht="13.8" hidden="true" customHeight="false" outlineLevel="1" collapsed="false">
      <c r="B314" s="15" t="s">
        <v>25</v>
      </c>
      <c r="C314" s="26" t="n">
        <f aca="false">E313+1</f>
        <v>51136</v>
      </c>
      <c r="E314" s="26" t="n">
        <f aca="false">EOMONTH(C314,0)</f>
        <v>51166</v>
      </c>
      <c r="G314" s="15" t="s">
        <v>33</v>
      </c>
      <c r="H314" s="130"/>
      <c r="I314" s="89" t="n">
        <v>0.026145</v>
      </c>
      <c r="J314" s="89" t="n">
        <v>0.026145</v>
      </c>
      <c r="M314" s="15" t="s">
        <v>33</v>
      </c>
      <c r="N314" s="18" t="n">
        <v>0</v>
      </c>
      <c r="O314" s="18" t="n">
        <v>0.026145</v>
      </c>
      <c r="P314" s="18" t="n">
        <v>0.026145</v>
      </c>
    </row>
    <row r="315" customFormat="false" ht="13.8" hidden="true" customHeight="false" outlineLevel="1" collapsed="false">
      <c r="B315" s="15" t="s">
        <v>25</v>
      </c>
      <c r="C315" s="26" t="n">
        <f aca="false">E314+1</f>
        <v>51167</v>
      </c>
      <c r="E315" s="26" t="n">
        <f aca="false">EOMONTH(C315,0)</f>
        <v>51195</v>
      </c>
      <c r="G315" s="15" t="s">
        <v>33</v>
      </c>
      <c r="H315" s="130"/>
      <c r="I315" s="89" t="n">
        <v>0.026145</v>
      </c>
      <c r="J315" s="89" t="n">
        <v>0.026145</v>
      </c>
      <c r="M315" s="15" t="s">
        <v>33</v>
      </c>
      <c r="N315" s="18" t="n">
        <v>0</v>
      </c>
      <c r="O315" s="18" t="n">
        <v>0.026145</v>
      </c>
      <c r="P315" s="18" t="n">
        <v>0.026145</v>
      </c>
    </row>
    <row r="316" customFormat="false" ht="13.8" hidden="true" customHeight="false" outlineLevel="1" collapsed="false">
      <c r="B316" s="15" t="s">
        <v>25</v>
      </c>
      <c r="C316" s="26" t="n">
        <f aca="false">E315+1</f>
        <v>51196</v>
      </c>
      <c r="E316" s="26" t="n">
        <f aca="false">EOMONTH(C316,0)</f>
        <v>51226</v>
      </c>
      <c r="G316" s="15" t="s">
        <v>33</v>
      </c>
      <c r="H316" s="130"/>
      <c r="I316" s="89" t="n">
        <v>0.026145</v>
      </c>
      <c r="J316" s="89" t="n">
        <v>0.026145</v>
      </c>
      <c r="M316" s="15" t="s">
        <v>33</v>
      </c>
      <c r="N316" s="18" t="n">
        <v>0</v>
      </c>
      <c r="O316" s="18" t="n">
        <v>0.026145</v>
      </c>
      <c r="P316" s="18" t="n">
        <v>0.026145</v>
      </c>
    </row>
    <row r="317" customFormat="false" ht="13.8" hidden="true" customHeight="false" outlineLevel="1" collapsed="false">
      <c r="B317" s="15" t="s">
        <v>25</v>
      </c>
      <c r="C317" s="26" t="n">
        <f aca="false">E316+1</f>
        <v>51227</v>
      </c>
      <c r="E317" s="26" t="n">
        <f aca="false">EOMONTH(C317,0)</f>
        <v>51256</v>
      </c>
      <c r="G317" s="15" t="s">
        <v>33</v>
      </c>
      <c r="H317" s="130"/>
      <c r="I317" s="89" t="n">
        <v>0.026145</v>
      </c>
      <c r="J317" s="89" t="n">
        <v>0.026145</v>
      </c>
      <c r="M317" s="15" t="s">
        <v>33</v>
      </c>
      <c r="N317" s="18" t="n">
        <v>0</v>
      </c>
      <c r="O317" s="18" t="n">
        <v>0.026145</v>
      </c>
      <c r="P317" s="18" t="n">
        <v>0.026145</v>
      </c>
    </row>
    <row r="318" customFormat="false" ht="13.8" hidden="true" customHeight="false" outlineLevel="1" collapsed="false">
      <c r="B318" s="15" t="s">
        <v>25</v>
      </c>
      <c r="C318" s="26" t="n">
        <f aca="false">E317+1</f>
        <v>51257</v>
      </c>
      <c r="E318" s="26" t="n">
        <f aca="false">EOMONTH(C318,0)</f>
        <v>51287</v>
      </c>
      <c r="G318" s="15" t="s">
        <v>33</v>
      </c>
      <c r="H318" s="130"/>
      <c r="I318" s="89" t="n">
        <v>0.026145</v>
      </c>
      <c r="J318" s="89" t="n">
        <v>0.026145</v>
      </c>
      <c r="M318" s="15" t="s">
        <v>33</v>
      </c>
      <c r="N318" s="18" t="n">
        <v>0</v>
      </c>
      <c r="O318" s="18" t="n">
        <v>0.026145</v>
      </c>
      <c r="P318" s="18" t="n">
        <v>0.026145</v>
      </c>
    </row>
    <row r="319" customFormat="false" ht="13.8" hidden="true" customHeight="false" outlineLevel="1" collapsed="false">
      <c r="B319" s="15" t="s">
        <v>25</v>
      </c>
      <c r="C319" s="26" t="n">
        <f aca="false">E318+1</f>
        <v>51288</v>
      </c>
      <c r="E319" s="26" t="n">
        <f aca="false">EOMONTH(C319,0)</f>
        <v>51317</v>
      </c>
      <c r="G319" s="15" t="s">
        <v>33</v>
      </c>
      <c r="H319" s="130"/>
      <c r="I319" s="89" t="n">
        <v>0.026145</v>
      </c>
      <c r="J319" s="89" t="n">
        <v>0.026145</v>
      </c>
      <c r="M319" s="15" t="s">
        <v>33</v>
      </c>
      <c r="N319" s="18" t="n">
        <v>0</v>
      </c>
      <c r="O319" s="18" t="n">
        <v>0.026145</v>
      </c>
      <c r="P319" s="18" t="n">
        <v>0.026145</v>
      </c>
    </row>
    <row r="320" customFormat="false" ht="13.8" hidden="true" customHeight="false" outlineLevel="1" collapsed="false">
      <c r="B320" s="15" t="s">
        <v>25</v>
      </c>
      <c r="C320" s="26" t="n">
        <f aca="false">E319+1</f>
        <v>51318</v>
      </c>
      <c r="E320" s="26" t="n">
        <f aca="false">EOMONTH(C320,0)</f>
        <v>51348</v>
      </c>
      <c r="G320" s="15" t="s">
        <v>33</v>
      </c>
      <c r="H320" s="130"/>
      <c r="I320" s="89" t="n">
        <v>0.026145</v>
      </c>
      <c r="J320" s="89" t="n">
        <v>0.026145</v>
      </c>
      <c r="M320" s="15" t="s">
        <v>33</v>
      </c>
      <c r="N320" s="18" t="n">
        <v>0</v>
      </c>
      <c r="O320" s="18" t="n">
        <v>0.026145</v>
      </c>
      <c r="P320" s="18" t="n">
        <v>0.026145</v>
      </c>
    </row>
    <row r="321" customFormat="false" ht="13.8" hidden="true" customHeight="false" outlineLevel="1" collapsed="false">
      <c r="B321" s="15" t="s">
        <v>25</v>
      </c>
      <c r="C321" s="26" t="n">
        <f aca="false">E320+1</f>
        <v>51349</v>
      </c>
      <c r="E321" s="26" t="n">
        <f aca="false">EOMONTH(C321,0)</f>
        <v>51379</v>
      </c>
      <c r="G321" s="15" t="s">
        <v>33</v>
      </c>
      <c r="H321" s="130"/>
      <c r="I321" s="89" t="n">
        <v>0.026145</v>
      </c>
      <c r="J321" s="89" t="n">
        <v>0.026145</v>
      </c>
      <c r="M321" s="15" t="s">
        <v>33</v>
      </c>
      <c r="N321" s="18" t="n">
        <v>0</v>
      </c>
      <c r="O321" s="18" t="n">
        <v>0.026145</v>
      </c>
      <c r="P321" s="18" t="n">
        <v>0.026145</v>
      </c>
    </row>
    <row r="322" customFormat="false" ht="13.8" hidden="true" customHeight="false" outlineLevel="1" collapsed="false">
      <c r="B322" s="15" t="s">
        <v>25</v>
      </c>
      <c r="C322" s="26" t="n">
        <f aca="false">E321+1</f>
        <v>51380</v>
      </c>
      <c r="E322" s="26" t="n">
        <f aca="false">EOMONTH(C322,0)</f>
        <v>51409</v>
      </c>
      <c r="G322" s="15" t="s">
        <v>33</v>
      </c>
      <c r="H322" s="130"/>
      <c r="I322" s="89" t="n">
        <v>0.026145</v>
      </c>
      <c r="J322" s="89" t="n">
        <v>0.026145</v>
      </c>
      <c r="M322" s="15" t="s">
        <v>33</v>
      </c>
      <c r="N322" s="18" t="n">
        <v>0</v>
      </c>
      <c r="O322" s="18" t="n">
        <v>0.026145</v>
      </c>
      <c r="P322" s="18" t="n">
        <v>0.026145</v>
      </c>
    </row>
    <row r="323" customFormat="false" ht="13.8" hidden="true" customHeight="false" outlineLevel="1" collapsed="false">
      <c r="B323" s="15" t="s">
        <v>25</v>
      </c>
      <c r="C323" s="26" t="n">
        <f aca="false">E322+1</f>
        <v>51410</v>
      </c>
      <c r="E323" s="26" t="n">
        <f aca="false">EOMONTH(C323,0)</f>
        <v>51440</v>
      </c>
      <c r="G323" s="15" t="s">
        <v>33</v>
      </c>
      <c r="H323" s="130"/>
      <c r="I323" s="89" t="n">
        <v>0.026145</v>
      </c>
      <c r="J323" s="89" t="n">
        <v>0.026145</v>
      </c>
      <c r="M323" s="15" t="s">
        <v>33</v>
      </c>
      <c r="N323" s="18" t="n">
        <v>0</v>
      </c>
      <c r="O323" s="18" t="n">
        <v>0.026145</v>
      </c>
      <c r="P323" s="18" t="n">
        <v>0.026145</v>
      </c>
    </row>
    <row r="324" customFormat="false" ht="13.8" hidden="true" customHeight="false" outlineLevel="1" collapsed="false">
      <c r="B324" s="15" t="s">
        <v>25</v>
      </c>
      <c r="C324" s="26" t="n">
        <f aca="false">E323+1</f>
        <v>51441</v>
      </c>
      <c r="E324" s="26" t="n">
        <f aca="false">EOMONTH(C324,0)</f>
        <v>51470</v>
      </c>
      <c r="G324" s="15" t="s">
        <v>33</v>
      </c>
      <c r="H324" s="130"/>
      <c r="I324" s="89" t="n">
        <v>0.026145</v>
      </c>
      <c r="J324" s="89" t="n">
        <v>0.026145</v>
      </c>
      <c r="M324" s="15" t="s">
        <v>33</v>
      </c>
      <c r="N324" s="18" t="n">
        <v>0</v>
      </c>
      <c r="O324" s="18" t="n">
        <v>0.026145</v>
      </c>
      <c r="P324" s="18" t="n">
        <v>0.026145</v>
      </c>
    </row>
    <row r="325" customFormat="false" ht="13.8" hidden="true" customHeight="false" outlineLevel="1" collapsed="false">
      <c r="B325" s="15" t="s">
        <v>25</v>
      </c>
      <c r="C325" s="26" t="n">
        <f aca="false">E324+1</f>
        <v>51471</v>
      </c>
      <c r="E325" s="26" t="n">
        <f aca="false">EOMONTH(C325,0)</f>
        <v>51501</v>
      </c>
      <c r="G325" s="15" t="s">
        <v>33</v>
      </c>
      <c r="H325" s="130"/>
      <c r="I325" s="89" t="n">
        <v>0.026145</v>
      </c>
      <c r="J325" s="89" t="n">
        <v>0.026145</v>
      </c>
      <c r="M325" s="15" t="s">
        <v>33</v>
      </c>
      <c r="N325" s="18" t="n">
        <v>0</v>
      </c>
      <c r="O325" s="18" t="n">
        <v>0.026145</v>
      </c>
      <c r="P325" s="18" t="n">
        <v>0.026145</v>
      </c>
    </row>
    <row r="326" customFormat="false" ht="13.8" hidden="true" customHeight="false" outlineLevel="1" collapsed="false">
      <c r="B326" s="15" t="s">
        <v>25</v>
      </c>
      <c r="C326" s="26" t="n">
        <f aca="false">E325+1</f>
        <v>51502</v>
      </c>
      <c r="E326" s="26" t="n">
        <f aca="false">EOMONTH(C326,0)</f>
        <v>51532</v>
      </c>
      <c r="G326" s="15" t="s">
        <v>33</v>
      </c>
      <c r="H326" s="130"/>
      <c r="I326" s="89" t="n">
        <v>0.026145</v>
      </c>
      <c r="J326" s="89" t="n">
        <v>0.026145</v>
      </c>
      <c r="M326" s="15" t="s">
        <v>33</v>
      </c>
      <c r="N326" s="18" t="n">
        <v>0</v>
      </c>
      <c r="O326" s="18" t="n">
        <v>0.026145</v>
      </c>
      <c r="P326" s="18" t="n">
        <v>0.026145</v>
      </c>
    </row>
    <row r="327" customFormat="false" ht="13.8" hidden="true" customHeight="false" outlineLevel="1" collapsed="false">
      <c r="B327" s="15" t="s">
        <v>25</v>
      </c>
      <c r="C327" s="26" t="n">
        <f aca="false">E326+1</f>
        <v>51533</v>
      </c>
      <c r="E327" s="26" t="n">
        <f aca="false">EOMONTH(C327,0)</f>
        <v>51560</v>
      </c>
      <c r="G327" s="15" t="s">
        <v>33</v>
      </c>
      <c r="H327" s="130"/>
      <c r="I327" s="89" t="n">
        <v>0.026145</v>
      </c>
      <c r="J327" s="89" t="n">
        <v>0.026145</v>
      </c>
      <c r="M327" s="15" t="s">
        <v>33</v>
      </c>
      <c r="N327" s="18" t="n">
        <v>0</v>
      </c>
      <c r="O327" s="18" t="n">
        <v>0.026145</v>
      </c>
      <c r="P327" s="18" t="n">
        <v>0.026145</v>
      </c>
    </row>
    <row r="328" customFormat="false" ht="13.8" hidden="true" customHeight="false" outlineLevel="1" collapsed="false">
      <c r="B328" s="15" t="s">
        <v>25</v>
      </c>
      <c r="C328" s="26" t="n">
        <f aca="false">E327+1</f>
        <v>51561</v>
      </c>
      <c r="E328" s="26" t="n">
        <f aca="false">EOMONTH(C328,0)</f>
        <v>51591</v>
      </c>
      <c r="G328" s="15" t="s">
        <v>33</v>
      </c>
      <c r="H328" s="130"/>
      <c r="I328" s="89" t="n">
        <v>0.026145</v>
      </c>
      <c r="J328" s="89" t="n">
        <v>0.026145</v>
      </c>
      <c r="M328" s="15" t="s">
        <v>33</v>
      </c>
      <c r="N328" s="18" t="n">
        <v>0</v>
      </c>
      <c r="O328" s="18" t="n">
        <v>0.026145</v>
      </c>
      <c r="P328" s="18" t="n">
        <v>0.026145</v>
      </c>
    </row>
    <row r="329" customFormat="false" ht="13.8" hidden="true" customHeight="false" outlineLevel="1" collapsed="false">
      <c r="B329" s="15" t="s">
        <v>25</v>
      </c>
      <c r="C329" s="26" t="n">
        <f aca="false">E328+1</f>
        <v>51592</v>
      </c>
      <c r="E329" s="26" t="n">
        <f aca="false">EOMONTH(C329,0)</f>
        <v>51621</v>
      </c>
      <c r="G329" s="15" t="s">
        <v>33</v>
      </c>
      <c r="H329" s="130"/>
      <c r="I329" s="89" t="n">
        <v>0.026145</v>
      </c>
      <c r="J329" s="89" t="n">
        <v>0.026145</v>
      </c>
      <c r="M329" s="15" t="s">
        <v>33</v>
      </c>
      <c r="N329" s="18" t="n">
        <v>0</v>
      </c>
      <c r="O329" s="18" t="n">
        <v>0.026145</v>
      </c>
      <c r="P329" s="18" t="n">
        <v>0.026145</v>
      </c>
    </row>
    <row r="330" customFormat="false" ht="13.8" hidden="true" customHeight="false" outlineLevel="1" collapsed="false">
      <c r="B330" s="15" t="s">
        <v>25</v>
      </c>
      <c r="C330" s="26" t="n">
        <f aca="false">E329+1</f>
        <v>51622</v>
      </c>
      <c r="E330" s="26" t="n">
        <f aca="false">EOMONTH(C330,0)</f>
        <v>51652</v>
      </c>
      <c r="G330" s="15" t="s">
        <v>33</v>
      </c>
      <c r="H330" s="130"/>
      <c r="I330" s="89" t="n">
        <v>0.026145</v>
      </c>
      <c r="J330" s="89" t="n">
        <v>0.026145</v>
      </c>
      <c r="M330" s="15" t="s">
        <v>33</v>
      </c>
      <c r="N330" s="18" t="n">
        <v>0</v>
      </c>
      <c r="O330" s="18" t="n">
        <v>0.026145</v>
      </c>
      <c r="P330" s="18" t="n">
        <v>0.026145</v>
      </c>
    </row>
    <row r="331" customFormat="false" ht="13.8" hidden="true" customHeight="false" outlineLevel="1" collapsed="false">
      <c r="B331" s="15" t="s">
        <v>25</v>
      </c>
      <c r="C331" s="26" t="n">
        <f aca="false">E330+1</f>
        <v>51653</v>
      </c>
      <c r="E331" s="26" t="n">
        <f aca="false">EOMONTH(C331,0)</f>
        <v>51682</v>
      </c>
      <c r="G331" s="15" t="s">
        <v>33</v>
      </c>
      <c r="H331" s="130"/>
      <c r="I331" s="89" t="n">
        <v>0.026145</v>
      </c>
      <c r="J331" s="89" t="n">
        <v>0.026145</v>
      </c>
      <c r="M331" s="15" t="s">
        <v>33</v>
      </c>
      <c r="N331" s="18" t="n">
        <v>0</v>
      </c>
      <c r="O331" s="18" t="n">
        <v>0.026145</v>
      </c>
      <c r="P331" s="18" t="n">
        <v>0.026145</v>
      </c>
    </row>
    <row r="332" customFormat="false" ht="13.8" hidden="true" customHeight="false" outlineLevel="1" collapsed="false">
      <c r="B332" s="15" t="s">
        <v>25</v>
      </c>
      <c r="C332" s="26" t="n">
        <f aca="false">E331+1</f>
        <v>51683</v>
      </c>
      <c r="E332" s="26" t="n">
        <f aca="false">EOMONTH(C332,0)</f>
        <v>51713</v>
      </c>
      <c r="G332" s="15" t="s">
        <v>33</v>
      </c>
      <c r="H332" s="130"/>
      <c r="I332" s="89" t="n">
        <v>0.026145</v>
      </c>
      <c r="J332" s="89" t="n">
        <v>0.026145</v>
      </c>
      <c r="M332" s="15" t="s">
        <v>33</v>
      </c>
      <c r="N332" s="18" t="n">
        <v>0</v>
      </c>
      <c r="O332" s="18" t="n">
        <v>0.026145</v>
      </c>
      <c r="P332" s="18" t="n">
        <v>0.026145</v>
      </c>
    </row>
    <row r="333" customFormat="false" ht="13.8" hidden="true" customHeight="false" outlineLevel="1" collapsed="false">
      <c r="B333" s="15" t="s">
        <v>25</v>
      </c>
      <c r="C333" s="26" t="n">
        <f aca="false">E332+1</f>
        <v>51714</v>
      </c>
      <c r="E333" s="26" t="n">
        <f aca="false">EOMONTH(C333,0)</f>
        <v>51744</v>
      </c>
      <c r="G333" s="15" t="s">
        <v>33</v>
      </c>
      <c r="H333" s="130"/>
      <c r="I333" s="89" t="n">
        <v>0.026145</v>
      </c>
      <c r="J333" s="89" t="n">
        <v>0.026145</v>
      </c>
      <c r="M333" s="15" t="s">
        <v>33</v>
      </c>
      <c r="N333" s="18" t="n">
        <v>0</v>
      </c>
      <c r="O333" s="18" t="n">
        <v>0.026145</v>
      </c>
      <c r="P333" s="18" t="n">
        <v>0.026145</v>
      </c>
    </row>
    <row r="334" customFormat="false" ht="13.8" hidden="true" customHeight="false" outlineLevel="1" collapsed="false">
      <c r="B334" s="15" t="s">
        <v>25</v>
      </c>
      <c r="C334" s="26" t="n">
        <f aca="false">E333+1</f>
        <v>51745</v>
      </c>
      <c r="E334" s="26" t="n">
        <f aca="false">EOMONTH(C334,0)</f>
        <v>51774</v>
      </c>
      <c r="G334" s="15" t="s">
        <v>33</v>
      </c>
      <c r="H334" s="130"/>
      <c r="I334" s="89" t="n">
        <v>0.026145</v>
      </c>
      <c r="J334" s="89" t="n">
        <v>0.026145</v>
      </c>
      <c r="M334" s="15" t="s">
        <v>33</v>
      </c>
      <c r="N334" s="18" t="n">
        <v>0</v>
      </c>
      <c r="O334" s="18" t="n">
        <v>0.026145</v>
      </c>
      <c r="P334" s="18" t="n">
        <v>0.026145</v>
      </c>
    </row>
    <row r="335" customFormat="false" ht="13.8" hidden="true" customHeight="false" outlineLevel="1" collapsed="false">
      <c r="B335" s="15" t="s">
        <v>25</v>
      </c>
      <c r="C335" s="26" t="n">
        <f aca="false">E334+1</f>
        <v>51775</v>
      </c>
      <c r="E335" s="26" t="n">
        <f aca="false">EOMONTH(C335,0)</f>
        <v>51805</v>
      </c>
      <c r="G335" s="15" t="s">
        <v>33</v>
      </c>
      <c r="H335" s="130"/>
      <c r="I335" s="89" t="n">
        <v>0.026145</v>
      </c>
      <c r="J335" s="89" t="n">
        <v>0.026145</v>
      </c>
      <c r="M335" s="15" t="s">
        <v>33</v>
      </c>
      <c r="N335" s="18" t="n">
        <v>0</v>
      </c>
      <c r="O335" s="18" t="n">
        <v>0.026145</v>
      </c>
      <c r="P335" s="18" t="n">
        <v>0.026145</v>
      </c>
    </row>
    <row r="336" customFormat="false" ht="13.8" hidden="true" customHeight="false" outlineLevel="1" collapsed="false">
      <c r="B336" s="15" t="s">
        <v>25</v>
      </c>
      <c r="C336" s="26" t="n">
        <f aca="false">E335+1</f>
        <v>51806</v>
      </c>
      <c r="E336" s="26" t="n">
        <f aca="false">EOMONTH(C336,0)</f>
        <v>51835</v>
      </c>
      <c r="G336" s="15" t="s">
        <v>33</v>
      </c>
      <c r="H336" s="130"/>
      <c r="I336" s="89" t="n">
        <v>0.026145</v>
      </c>
      <c r="J336" s="89" t="n">
        <v>0.026145</v>
      </c>
      <c r="M336" s="15" t="s">
        <v>33</v>
      </c>
      <c r="N336" s="18" t="n">
        <v>0</v>
      </c>
      <c r="O336" s="18" t="n">
        <v>0.026145</v>
      </c>
      <c r="P336" s="18" t="n">
        <v>0.026145</v>
      </c>
    </row>
    <row r="337" customFormat="false" ht="13.8" hidden="true" customHeight="false" outlineLevel="1" collapsed="false">
      <c r="B337" s="15" t="s">
        <v>25</v>
      </c>
      <c r="C337" s="26" t="n">
        <f aca="false">E336+1</f>
        <v>51836</v>
      </c>
      <c r="E337" s="26" t="n">
        <f aca="false">EOMONTH(C337,0)</f>
        <v>51866</v>
      </c>
      <c r="G337" s="15" t="s">
        <v>33</v>
      </c>
      <c r="H337" s="130"/>
      <c r="I337" s="89" t="n">
        <v>0.026145</v>
      </c>
      <c r="J337" s="89" t="n">
        <v>0.026145</v>
      </c>
      <c r="M337" s="15" t="s">
        <v>33</v>
      </c>
      <c r="N337" s="18" t="n">
        <v>0</v>
      </c>
      <c r="O337" s="18" t="n">
        <v>0.026145</v>
      </c>
      <c r="P337" s="18" t="n">
        <v>0.026145</v>
      </c>
    </row>
    <row r="338" customFormat="false" ht="13.8" hidden="true" customHeight="false" outlineLevel="1" collapsed="false">
      <c r="B338" s="15" t="s">
        <v>25</v>
      </c>
      <c r="C338" s="26" t="n">
        <f aca="false">E337+1</f>
        <v>51867</v>
      </c>
      <c r="E338" s="26" t="n">
        <f aca="false">EOMONTH(C338,0)</f>
        <v>51897</v>
      </c>
      <c r="G338" s="15" t="s">
        <v>33</v>
      </c>
      <c r="H338" s="130"/>
      <c r="I338" s="89" t="n">
        <v>0.026145</v>
      </c>
      <c r="J338" s="89" t="n">
        <v>0.026145</v>
      </c>
      <c r="M338" s="15" t="s">
        <v>33</v>
      </c>
      <c r="N338" s="18" t="n">
        <v>0</v>
      </c>
      <c r="O338" s="18" t="n">
        <v>0.026145</v>
      </c>
      <c r="P338" s="18" t="n">
        <v>0.026145</v>
      </c>
    </row>
    <row r="339" customFormat="false" ht="13.8" hidden="true" customHeight="false" outlineLevel="1" collapsed="false">
      <c r="B339" s="15" t="s">
        <v>25</v>
      </c>
      <c r="C339" s="26" t="n">
        <f aca="false">E338+1</f>
        <v>51898</v>
      </c>
      <c r="E339" s="26" t="n">
        <f aca="false">EOMONTH(C339,0)</f>
        <v>51925</v>
      </c>
      <c r="G339" s="15" t="s">
        <v>33</v>
      </c>
      <c r="H339" s="130"/>
      <c r="I339" s="89" t="n">
        <v>0.026145</v>
      </c>
      <c r="J339" s="89" t="n">
        <v>0.026145</v>
      </c>
      <c r="M339" s="15" t="s">
        <v>33</v>
      </c>
      <c r="N339" s="18" t="n">
        <v>0</v>
      </c>
      <c r="O339" s="18" t="n">
        <v>0.026145</v>
      </c>
      <c r="P339" s="18" t="n">
        <v>0.026145</v>
      </c>
    </row>
    <row r="340" customFormat="false" ht="13.8" hidden="true" customHeight="false" outlineLevel="1" collapsed="false">
      <c r="B340" s="15" t="s">
        <v>25</v>
      </c>
      <c r="C340" s="26" t="n">
        <f aca="false">E339+1</f>
        <v>51926</v>
      </c>
      <c r="E340" s="26" t="n">
        <f aca="false">EOMONTH(C340,0)</f>
        <v>51956</v>
      </c>
      <c r="G340" s="15" t="s">
        <v>33</v>
      </c>
      <c r="H340" s="130"/>
      <c r="I340" s="89" t="n">
        <v>0.026145</v>
      </c>
      <c r="J340" s="89" t="n">
        <v>0.026145</v>
      </c>
      <c r="M340" s="15" t="s">
        <v>33</v>
      </c>
      <c r="N340" s="18" t="n">
        <v>0</v>
      </c>
      <c r="O340" s="18" t="n">
        <v>0.026145</v>
      </c>
      <c r="P340" s="18" t="n">
        <v>0.026145</v>
      </c>
    </row>
    <row r="341" customFormat="false" ht="13.8" hidden="true" customHeight="false" outlineLevel="1" collapsed="false">
      <c r="B341" s="15" t="s">
        <v>25</v>
      </c>
      <c r="C341" s="26" t="n">
        <f aca="false">E340+1</f>
        <v>51957</v>
      </c>
      <c r="E341" s="26" t="n">
        <f aca="false">EOMONTH(C341,0)</f>
        <v>51986</v>
      </c>
      <c r="G341" s="15" t="s">
        <v>33</v>
      </c>
      <c r="H341" s="130"/>
      <c r="I341" s="89" t="n">
        <v>0.026145</v>
      </c>
      <c r="J341" s="89" t="n">
        <v>0.026145</v>
      </c>
      <c r="M341" s="15" t="s">
        <v>33</v>
      </c>
      <c r="N341" s="18" t="n">
        <v>0</v>
      </c>
      <c r="O341" s="18" t="n">
        <v>0.026145</v>
      </c>
      <c r="P341" s="18" t="n">
        <v>0.026145</v>
      </c>
    </row>
    <row r="342" customFormat="false" ht="13.8" hidden="true" customHeight="false" outlineLevel="1" collapsed="false">
      <c r="B342" s="15" t="s">
        <v>25</v>
      </c>
      <c r="C342" s="26" t="n">
        <f aca="false">E341+1</f>
        <v>51987</v>
      </c>
      <c r="E342" s="26" t="n">
        <f aca="false">EOMONTH(C342,0)</f>
        <v>52017</v>
      </c>
      <c r="G342" s="15" t="s">
        <v>33</v>
      </c>
      <c r="H342" s="130"/>
      <c r="I342" s="89" t="n">
        <v>0.026145</v>
      </c>
      <c r="J342" s="89" t="n">
        <v>0.026145</v>
      </c>
      <c r="M342" s="15" t="s">
        <v>33</v>
      </c>
      <c r="N342" s="18" t="n">
        <v>0</v>
      </c>
      <c r="O342" s="18" t="n">
        <v>0.026145</v>
      </c>
      <c r="P342" s="18" t="n">
        <v>0.026145</v>
      </c>
    </row>
    <row r="343" customFormat="false" ht="13.8" hidden="true" customHeight="false" outlineLevel="1" collapsed="false">
      <c r="B343" s="15" t="s">
        <v>25</v>
      </c>
      <c r="C343" s="26" t="n">
        <f aca="false">E342+1</f>
        <v>52018</v>
      </c>
      <c r="E343" s="26" t="n">
        <f aca="false">EOMONTH(C343,0)</f>
        <v>52047</v>
      </c>
      <c r="G343" s="15" t="s">
        <v>33</v>
      </c>
      <c r="H343" s="130"/>
      <c r="I343" s="89" t="n">
        <v>0.026145</v>
      </c>
      <c r="J343" s="89" t="n">
        <v>0.026145</v>
      </c>
      <c r="M343" s="15" t="s">
        <v>33</v>
      </c>
      <c r="N343" s="18" t="n">
        <v>0</v>
      </c>
      <c r="O343" s="18" t="n">
        <v>0.026145</v>
      </c>
      <c r="P343" s="18" t="n">
        <v>0.026145</v>
      </c>
    </row>
    <row r="344" customFormat="false" ht="13.8" hidden="true" customHeight="false" outlineLevel="1" collapsed="false">
      <c r="B344" s="15" t="s">
        <v>25</v>
      </c>
      <c r="C344" s="26" t="n">
        <f aca="false">E343+1</f>
        <v>52048</v>
      </c>
      <c r="E344" s="26" t="n">
        <f aca="false">EOMONTH(C344,0)</f>
        <v>52078</v>
      </c>
      <c r="G344" s="15" t="s">
        <v>33</v>
      </c>
      <c r="H344" s="130"/>
      <c r="I344" s="89" t="n">
        <v>0.026145</v>
      </c>
      <c r="J344" s="89" t="n">
        <v>0.026145</v>
      </c>
      <c r="M344" s="15" t="s">
        <v>33</v>
      </c>
      <c r="N344" s="18" t="n">
        <v>0</v>
      </c>
      <c r="O344" s="18" t="n">
        <v>0.026145</v>
      </c>
      <c r="P344" s="18" t="n">
        <v>0.026145</v>
      </c>
    </row>
    <row r="345" customFormat="false" ht="13.8" hidden="true" customHeight="false" outlineLevel="1" collapsed="false">
      <c r="B345" s="15" t="s">
        <v>25</v>
      </c>
      <c r="C345" s="26" t="n">
        <f aca="false">E344+1</f>
        <v>52079</v>
      </c>
      <c r="E345" s="26" t="n">
        <f aca="false">EOMONTH(C345,0)</f>
        <v>52109</v>
      </c>
      <c r="G345" s="15" t="s">
        <v>33</v>
      </c>
      <c r="H345" s="130"/>
      <c r="I345" s="89" t="n">
        <v>0.026145</v>
      </c>
      <c r="J345" s="89" t="n">
        <v>0.026145</v>
      </c>
      <c r="M345" s="15" t="s">
        <v>33</v>
      </c>
      <c r="N345" s="18" t="n">
        <v>0</v>
      </c>
      <c r="O345" s="18" t="n">
        <v>0.026145</v>
      </c>
      <c r="P345" s="18" t="n">
        <v>0.026145</v>
      </c>
    </row>
    <row r="346" customFormat="false" ht="13.8" hidden="true" customHeight="false" outlineLevel="1" collapsed="false">
      <c r="B346" s="15" t="s">
        <v>25</v>
      </c>
      <c r="C346" s="26" t="n">
        <f aca="false">E345+1</f>
        <v>52110</v>
      </c>
      <c r="E346" s="26" t="n">
        <f aca="false">EOMONTH(C346,0)</f>
        <v>52139</v>
      </c>
      <c r="G346" s="15" t="s">
        <v>33</v>
      </c>
      <c r="H346" s="130"/>
      <c r="I346" s="89" t="n">
        <v>0.026145</v>
      </c>
      <c r="J346" s="89" t="n">
        <v>0.026145</v>
      </c>
      <c r="M346" s="15" t="s">
        <v>33</v>
      </c>
      <c r="N346" s="18" t="n">
        <v>0</v>
      </c>
      <c r="O346" s="18" t="n">
        <v>0.026145</v>
      </c>
      <c r="P346" s="18" t="n">
        <v>0.026145</v>
      </c>
    </row>
    <row r="347" customFormat="false" ht="13.8" hidden="true" customHeight="false" outlineLevel="1" collapsed="false">
      <c r="B347" s="15" t="s">
        <v>25</v>
      </c>
      <c r="C347" s="26" t="n">
        <f aca="false">E346+1</f>
        <v>52140</v>
      </c>
      <c r="E347" s="26" t="n">
        <f aca="false">EOMONTH(C347,0)</f>
        <v>52170</v>
      </c>
      <c r="G347" s="15" t="s">
        <v>33</v>
      </c>
      <c r="H347" s="130"/>
      <c r="I347" s="89" t="n">
        <v>0.026145</v>
      </c>
      <c r="J347" s="89" t="n">
        <v>0.026145</v>
      </c>
      <c r="M347" s="15" t="s">
        <v>33</v>
      </c>
      <c r="N347" s="18" t="n">
        <v>0</v>
      </c>
      <c r="O347" s="18" t="n">
        <v>0.026145</v>
      </c>
      <c r="P347" s="18" t="n">
        <v>0.026145</v>
      </c>
    </row>
    <row r="348" customFormat="false" ht="13.8" hidden="true" customHeight="false" outlineLevel="1" collapsed="false">
      <c r="B348" s="15" t="s">
        <v>25</v>
      </c>
      <c r="C348" s="26" t="n">
        <f aca="false">E347+1</f>
        <v>52171</v>
      </c>
      <c r="E348" s="26" t="n">
        <f aca="false">EOMONTH(C348,0)</f>
        <v>52200</v>
      </c>
      <c r="G348" s="15" t="s">
        <v>33</v>
      </c>
      <c r="H348" s="130"/>
      <c r="I348" s="89" t="n">
        <v>0.026145</v>
      </c>
      <c r="J348" s="89" t="n">
        <v>0.026145</v>
      </c>
      <c r="M348" s="15" t="s">
        <v>33</v>
      </c>
      <c r="N348" s="18" t="n">
        <v>0</v>
      </c>
      <c r="O348" s="18" t="n">
        <v>0.026145</v>
      </c>
      <c r="P348" s="18" t="n">
        <v>0.026145</v>
      </c>
    </row>
    <row r="349" customFormat="false" ht="13.8" hidden="true" customHeight="false" outlineLevel="1" collapsed="false">
      <c r="B349" s="15" t="s">
        <v>25</v>
      </c>
      <c r="C349" s="26" t="n">
        <f aca="false">E348+1</f>
        <v>52201</v>
      </c>
      <c r="E349" s="26" t="n">
        <f aca="false">EOMONTH(C349,0)</f>
        <v>52231</v>
      </c>
      <c r="G349" s="15" t="s">
        <v>33</v>
      </c>
      <c r="H349" s="130"/>
      <c r="I349" s="89" t="n">
        <v>0.026145</v>
      </c>
      <c r="J349" s="89" t="n">
        <v>0.026145</v>
      </c>
      <c r="M349" s="15" t="s">
        <v>33</v>
      </c>
      <c r="N349" s="18" t="n">
        <v>0</v>
      </c>
      <c r="O349" s="18" t="n">
        <v>0.026145</v>
      </c>
      <c r="P349" s="18" t="n">
        <v>0.026145</v>
      </c>
    </row>
    <row r="350" customFormat="false" ht="13.8" hidden="true" customHeight="false" outlineLevel="1" collapsed="false">
      <c r="B350" s="15" t="s">
        <v>25</v>
      </c>
      <c r="C350" s="26" t="n">
        <f aca="false">E349+1</f>
        <v>52232</v>
      </c>
      <c r="E350" s="26" t="n">
        <f aca="false">EOMONTH(C350,0)</f>
        <v>52262</v>
      </c>
      <c r="G350" s="15" t="s">
        <v>33</v>
      </c>
      <c r="H350" s="130"/>
      <c r="I350" s="89" t="n">
        <v>0.026145</v>
      </c>
      <c r="J350" s="89" t="n">
        <v>0.026145</v>
      </c>
      <c r="M350" s="15" t="s">
        <v>33</v>
      </c>
      <c r="N350" s="18" t="n">
        <v>0</v>
      </c>
      <c r="O350" s="18" t="n">
        <v>0.026145</v>
      </c>
      <c r="P350" s="18" t="n">
        <v>0.026145</v>
      </c>
    </row>
    <row r="351" customFormat="false" ht="13.8" hidden="true" customHeight="false" outlineLevel="1" collapsed="false">
      <c r="B351" s="15" t="s">
        <v>25</v>
      </c>
      <c r="C351" s="26" t="n">
        <f aca="false">E350+1</f>
        <v>52263</v>
      </c>
      <c r="E351" s="26" t="n">
        <f aca="false">EOMONTH(C351,0)</f>
        <v>52290</v>
      </c>
      <c r="G351" s="15" t="s">
        <v>33</v>
      </c>
      <c r="H351" s="130"/>
      <c r="I351" s="89" t="n">
        <v>0.026145</v>
      </c>
      <c r="J351" s="89" t="n">
        <v>0.026145</v>
      </c>
      <c r="M351" s="15" t="s">
        <v>33</v>
      </c>
      <c r="N351" s="18" t="n">
        <v>0</v>
      </c>
      <c r="O351" s="18" t="n">
        <v>0.026145</v>
      </c>
      <c r="P351" s="18" t="n">
        <v>0.026145</v>
      </c>
    </row>
    <row r="352" customFormat="false" ht="13.8" hidden="true" customHeight="false" outlineLevel="1" collapsed="false">
      <c r="B352" s="15" t="s">
        <v>25</v>
      </c>
      <c r="C352" s="26" t="n">
        <f aca="false">E351+1</f>
        <v>52291</v>
      </c>
      <c r="E352" s="26" t="n">
        <f aca="false">EOMONTH(C352,0)</f>
        <v>52321</v>
      </c>
      <c r="G352" s="15" t="s">
        <v>33</v>
      </c>
      <c r="H352" s="130"/>
      <c r="I352" s="89" t="n">
        <v>0.026145</v>
      </c>
      <c r="J352" s="89" t="n">
        <v>0.026145</v>
      </c>
      <c r="M352" s="15" t="s">
        <v>33</v>
      </c>
      <c r="N352" s="18" t="n">
        <v>0</v>
      </c>
      <c r="O352" s="18" t="n">
        <v>0.026145</v>
      </c>
      <c r="P352" s="18" t="n">
        <v>0.026145</v>
      </c>
    </row>
    <row r="353" customFormat="false" ht="13.8" hidden="true" customHeight="false" outlineLevel="1" collapsed="false">
      <c r="B353" s="15" t="s">
        <v>25</v>
      </c>
      <c r="C353" s="26" t="n">
        <f aca="false">E352+1</f>
        <v>52322</v>
      </c>
      <c r="E353" s="26" t="n">
        <f aca="false">EOMONTH(C353,0)</f>
        <v>52351</v>
      </c>
      <c r="G353" s="15" t="s">
        <v>33</v>
      </c>
      <c r="H353" s="130"/>
      <c r="I353" s="89" t="n">
        <v>0.026145</v>
      </c>
      <c r="J353" s="89" t="n">
        <v>0.026145</v>
      </c>
      <c r="M353" s="15" t="s">
        <v>33</v>
      </c>
      <c r="N353" s="18" t="n">
        <v>0</v>
      </c>
      <c r="O353" s="18" t="n">
        <v>0.026145</v>
      </c>
      <c r="P353" s="18" t="n">
        <v>0.026145</v>
      </c>
    </row>
    <row r="354" customFormat="false" ht="13.8" hidden="true" customHeight="false" outlineLevel="1" collapsed="false">
      <c r="B354" s="15" t="s">
        <v>25</v>
      </c>
      <c r="C354" s="26" t="n">
        <f aca="false">E353+1</f>
        <v>52352</v>
      </c>
      <c r="E354" s="26" t="n">
        <f aca="false">EOMONTH(C354,0)</f>
        <v>52382</v>
      </c>
      <c r="G354" s="15" t="s">
        <v>33</v>
      </c>
      <c r="H354" s="130"/>
      <c r="I354" s="89" t="n">
        <v>0.026145</v>
      </c>
      <c r="J354" s="89" t="n">
        <v>0.026145</v>
      </c>
      <c r="M354" s="15" t="s">
        <v>33</v>
      </c>
      <c r="N354" s="18" t="n">
        <v>0</v>
      </c>
      <c r="O354" s="18" t="n">
        <v>0.026145</v>
      </c>
      <c r="P354" s="18" t="n">
        <v>0.026145</v>
      </c>
    </row>
    <row r="355" customFormat="false" ht="13.8" hidden="true" customHeight="false" outlineLevel="1" collapsed="false">
      <c r="B355" s="15" t="s">
        <v>25</v>
      </c>
      <c r="C355" s="26" t="n">
        <f aca="false">E354+1</f>
        <v>52383</v>
      </c>
      <c r="E355" s="26" t="n">
        <f aca="false">EOMONTH(C355,0)</f>
        <v>52412</v>
      </c>
      <c r="G355" s="15" t="s">
        <v>33</v>
      </c>
      <c r="H355" s="130"/>
      <c r="I355" s="89" t="n">
        <v>0.026145</v>
      </c>
      <c r="J355" s="89" t="n">
        <v>0.026145</v>
      </c>
      <c r="M355" s="15" t="s">
        <v>33</v>
      </c>
      <c r="N355" s="18" t="n">
        <v>0</v>
      </c>
      <c r="O355" s="18" t="n">
        <v>0.026145</v>
      </c>
      <c r="P355" s="18" t="n">
        <v>0.026145</v>
      </c>
    </row>
    <row r="356" customFormat="false" ht="13.8" hidden="true" customHeight="false" outlineLevel="1" collapsed="false">
      <c r="B356" s="15" t="s">
        <v>25</v>
      </c>
      <c r="C356" s="26" t="n">
        <f aca="false">E355+1</f>
        <v>52413</v>
      </c>
      <c r="E356" s="26" t="n">
        <f aca="false">EOMONTH(C356,0)</f>
        <v>52443</v>
      </c>
      <c r="G356" s="15" t="s">
        <v>33</v>
      </c>
      <c r="H356" s="130"/>
      <c r="I356" s="89" t="n">
        <v>0.026145</v>
      </c>
      <c r="J356" s="89" t="n">
        <v>0.026145</v>
      </c>
      <c r="M356" s="15" t="s">
        <v>33</v>
      </c>
      <c r="N356" s="18" t="n">
        <v>0</v>
      </c>
      <c r="O356" s="18" t="n">
        <v>0.026145</v>
      </c>
      <c r="P356" s="18" t="n">
        <v>0.026145</v>
      </c>
    </row>
    <row r="357" customFormat="false" ht="13.8" hidden="true" customHeight="false" outlineLevel="1" collapsed="false">
      <c r="B357" s="15" t="s">
        <v>25</v>
      </c>
      <c r="C357" s="26" t="n">
        <f aca="false">E356+1</f>
        <v>52444</v>
      </c>
      <c r="E357" s="26" t="n">
        <f aca="false">EOMONTH(C357,0)</f>
        <v>52474</v>
      </c>
      <c r="G357" s="15" t="s">
        <v>33</v>
      </c>
      <c r="H357" s="130"/>
      <c r="I357" s="89" t="n">
        <v>0.026145</v>
      </c>
      <c r="J357" s="89" t="n">
        <v>0.026145</v>
      </c>
      <c r="M357" s="15" t="s">
        <v>33</v>
      </c>
      <c r="N357" s="18" t="n">
        <v>0</v>
      </c>
      <c r="O357" s="18" t="n">
        <v>0.026145</v>
      </c>
      <c r="P357" s="18" t="n">
        <v>0.026145</v>
      </c>
    </row>
    <row r="358" customFormat="false" ht="13.8" hidden="true" customHeight="false" outlineLevel="1" collapsed="false">
      <c r="B358" s="15" t="s">
        <v>25</v>
      </c>
      <c r="C358" s="26" t="n">
        <f aca="false">E357+1</f>
        <v>52475</v>
      </c>
      <c r="E358" s="26" t="n">
        <f aca="false">EOMONTH(C358,0)</f>
        <v>52504</v>
      </c>
      <c r="G358" s="15" t="s">
        <v>33</v>
      </c>
      <c r="H358" s="130"/>
      <c r="I358" s="89" t="n">
        <v>0.026145</v>
      </c>
      <c r="J358" s="89" t="n">
        <v>0.026145</v>
      </c>
      <c r="M358" s="15" t="s">
        <v>33</v>
      </c>
      <c r="N358" s="18" t="n">
        <v>0</v>
      </c>
      <c r="O358" s="18" t="n">
        <v>0.026145</v>
      </c>
      <c r="P358" s="18" t="n">
        <v>0.026145</v>
      </c>
    </row>
    <row r="359" customFormat="false" ht="13.8" hidden="true" customHeight="false" outlineLevel="1" collapsed="false">
      <c r="B359" s="15" t="s">
        <v>25</v>
      </c>
      <c r="C359" s="26" t="n">
        <f aca="false">E358+1</f>
        <v>52505</v>
      </c>
      <c r="E359" s="26" t="n">
        <f aca="false">EOMONTH(C359,0)</f>
        <v>52535</v>
      </c>
      <c r="G359" s="15" t="s">
        <v>33</v>
      </c>
      <c r="H359" s="130"/>
      <c r="I359" s="89" t="n">
        <v>0.026145</v>
      </c>
      <c r="J359" s="89" t="n">
        <v>0.026145</v>
      </c>
      <c r="M359" s="15" t="s">
        <v>33</v>
      </c>
      <c r="N359" s="18" t="n">
        <v>0</v>
      </c>
      <c r="O359" s="18" t="n">
        <v>0.026145</v>
      </c>
      <c r="P359" s="18" t="n">
        <v>0.026145</v>
      </c>
    </row>
    <row r="360" customFormat="false" ht="13.8" hidden="true" customHeight="false" outlineLevel="1" collapsed="false">
      <c r="B360" s="15" t="s">
        <v>25</v>
      </c>
      <c r="C360" s="26" t="n">
        <f aca="false">E359+1</f>
        <v>52536</v>
      </c>
      <c r="E360" s="26" t="n">
        <f aca="false">EOMONTH(C360,0)</f>
        <v>52565</v>
      </c>
      <c r="G360" s="15" t="s">
        <v>33</v>
      </c>
      <c r="H360" s="130"/>
      <c r="I360" s="89" t="n">
        <v>0.026145</v>
      </c>
      <c r="J360" s="89" t="n">
        <v>0.026145</v>
      </c>
      <c r="M360" s="15" t="s">
        <v>33</v>
      </c>
      <c r="N360" s="18" t="n">
        <v>0</v>
      </c>
      <c r="O360" s="18" t="n">
        <v>0.026145</v>
      </c>
      <c r="P360" s="18" t="n">
        <v>0.026145</v>
      </c>
    </row>
    <row r="361" customFormat="false" ht="13.8" hidden="true" customHeight="false" outlineLevel="1" collapsed="false">
      <c r="B361" s="15" t="s">
        <v>25</v>
      </c>
      <c r="C361" s="26" t="n">
        <f aca="false">E360+1</f>
        <v>52566</v>
      </c>
      <c r="E361" s="26" t="n">
        <f aca="false">EOMONTH(C361,0)</f>
        <v>52596</v>
      </c>
      <c r="G361" s="15" t="s">
        <v>33</v>
      </c>
      <c r="H361" s="130"/>
      <c r="I361" s="89" t="n">
        <v>0.026145</v>
      </c>
      <c r="J361" s="89" t="n">
        <v>0.026145</v>
      </c>
      <c r="M361" s="15" t="s">
        <v>33</v>
      </c>
      <c r="N361" s="18" t="n">
        <v>0</v>
      </c>
      <c r="O361" s="18" t="n">
        <v>0.026145</v>
      </c>
      <c r="P361" s="18" t="n">
        <v>0.026145</v>
      </c>
    </row>
    <row r="362" customFormat="false" ht="13.8" hidden="true" customHeight="false" outlineLevel="1" collapsed="false">
      <c r="B362" s="15" t="s">
        <v>25</v>
      </c>
      <c r="C362" s="26" t="n">
        <f aca="false">E361+1</f>
        <v>52597</v>
      </c>
      <c r="E362" s="26" t="n">
        <f aca="false">EOMONTH(C362,0)</f>
        <v>52627</v>
      </c>
      <c r="G362" s="15" t="s">
        <v>33</v>
      </c>
      <c r="H362" s="130"/>
      <c r="I362" s="89" t="n">
        <v>0.026145</v>
      </c>
      <c r="J362" s="89" t="n">
        <v>0.026145</v>
      </c>
      <c r="M362" s="15" t="s">
        <v>33</v>
      </c>
      <c r="N362" s="18" t="n">
        <v>0</v>
      </c>
      <c r="O362" s="18" t="n">
        <v>0.026145</v>
      </c>
      <c r="P362" s="18" t="n">
        <v>0.026145</v>
      </c>
    </row>
    <row r="363" customFormat="false" ht="13.8" hidden="true" customHeight="false" outlineLevel="1" collapsed="false">
      <c r="B363" s="15" t="s">
        <v>25</v>
      </c>
      <c r="C363" s="26" t="n">
        <f aca="false">E362+1</f>
        <v>52628</v>
      </c>
      <c r="E363" s="26" t="n">
        <f aca="false">EOMONTH(C363,0)</f>
        <v>52656</v>
      </c>
      <c r="G363" s="15" t="s">
        <v>33</v>
      </c>
      <c r="H363" s="130"/>
      <c r="I363" s="89" t="n">
        <v>0.026145</v>
      </c>
      <c r="J363" s="89" t="n">
        <v>0.026145</v>
      </c>
      <c r="M363" s="15" t="s">
        <v>33</v>
      </c>
      <c r="N363" s="18" t="n">
        <v>0</v>
      </c>
      <c r="O363" s="18" t="n">
        <v>0.026145</v>
      </c>
      <c r="P363" s="18" t="n">
        <v>0.026145</v>
      </c>
    </row>
    <row r="364" customFormat="false" ht="13.8" hidden="true" customHeight="false" outlineLevel="1" collapsed="false">
      <c r="B364" s="15" t="s">
        <v>25</v>
      </c>
      <c r="C364" s="26" t="n">
        <f aca="false">E363+1</f>
        <v>52657</v>
      </c>
      <c r="E364" s="26" t="n">
        <f aca="false">EOMONTH(C364,0)</f>
        <v>52687</v>
      </c>
      <c r="G364" s="15" t="s">
        <v>33</v>
      </c>
      <c r="H364" s="130"/>
      <c r="I364" s="89" t="n">
        <v>0.026145</v>
      </c>
      <c r="J364" s="89" t="n">
        <v>0.026145</v>
      </c>
      <c r="M364" s="15" t="s">
        <v>33</v>
      </c>
      <c r="N364" s="18" t="n">
        <v>0</v>
      </c>
      <c r="O364" s="18" t="n">
        <v>0.026145</v>
      </c>
      <c r="P364" s="18" t="n">
        <v>0.026145</v>
      </c>
    </row>
    <row r="365" customFormat="false" ht="13.8" hidden="true" customHeight="false" outlineLevel="1" collapsed="false">
      <c r="B365" s="15" t="s">
        <v>25</v>
      </c>
      <c r="C365" s="26" t="n">
        <f aca="false">E364+1</f>
        <v>52688</v>
      </c>
      <c r="E365" s="26" t="n">
        <f aca="false">EOMONTH(C365,0)</f>
        <v>52717</v>
      </c>
      <c r="G365" s="15" t="s">
        <v>33</v>
      </c>
      <c r="H365" s="130"/>
      <c r="I365" s="89" t="n">
        <v>0.026145</v>
      </c>
      <c r="J365" s="89" t="n">
        <v>0.026145</v>
      </c>
      <c r="M365" s="15" t="s">
        <v>33</v>
      </c>
      <c r="N365" s="18" t="n">
        <v>0</v>
      </c>
      <c r="O365" s="18" t="n">
        <v>0.026145</v>
      </c>
      <c r="P365" s="18" t="n">
        <v>0.026145</v>
      </c>
    </row>
    <row r="366" customFormat="false" ht="13.8" hidden="true" customHeight="false" outlineLevel="1" collapsed="false">
      <c r="B366" s="15" t="s">
        <v>25</v>
      </c>
      <c r="C366" s="26" t="n">
        <f aca="false">E365+1</f>
        <v>52718</v>
      </c>
      <c r="E366" s="26" t="n">
        <f aca="false">EOMONTH(C366,0)</f>
        <v>52748</v>
      </c>
      <c r="G366" s="15" t="s">
        <v>33</v>
      </c>
      <c r="H366" s="130"/>
      <c r="I366" s="89" t="n">
        <v>0.026145</v>
      </c>
      <c r="J366" s="89" t="n">
        <v>0.026145</v>
      </c>
      <c r="M366" s="15" t="s">
        <v>33</v>
      </c>
      <c r="N366" s="18" t="n">
        <v>0</v>
      </c>
      <c r="O366" s="18" t="n">
        <v>0.026145</v>
      </c>
      <c r="P366" s="18" t="n">
        <v>0.026145</v>
      </c>
    </row>
    <row r="367" customFormat="false" ht="13.8" hidden="true" customHeight="false" outlineLevel="1" collapsed="false">
      <c r="B367" s="15" t="s">
        <v>25</v>
      </c>
      <c r="C367" s="26" t="n">
        <f aca="false">E366+1</f>
        <v>52749</v>
      </c>
      <c r="E367" s="26" t="n">
        <f aca="false">EOMONTH(C367,0)</f>
        <v>52778</v>
      </c>
      <c r="G367" s="15" t="s">
        <v>33</v>
      </c>
      <c r="H367" s="130"/>
      <c r="I367" s="89" t="n">
        <v>0.026145</v>
      </c>
      <c r="J367" s="89" t="n">
        <v>0.026145</v>
      </c>
      <c r="M367" s="15" t="s">
        <v>33</v>
      </c>
      <c r="N367" s="18" t="n">
        <v>0</v>
      </c>
      <c r="O367" s="18" t="n">
        <v>0.026145</v>
      </c>
      <c r="P367" s="18" t="n">
        <v>0.026145</v>
      </c>
    </row>
    <row r="368" customFormat="false" ht="13.8" hidden="true" customHeight="false" outlineLevel="1" collapsed="false">
      <c r="B368" s="15" t="s">
        <v>25</v>
      </c>
      <c r="C368" s="26" t="n">
        <f aca="false">E367+1</f>
        <v>52779</v>
      </c>
      <c r="E368" s="26" t="n">
        <f aca="false">EOMONTH(C368,0)</f>
        <v>52809</v>
      </c>
      <c r="G368" s="15" t="s">
        <v>33</v>
      </c>
      <c r="H368" s="130"/>
      <c r="I368" s="89" t="n">
        <v>0.026145</v>
      </c>
      <c r="J368" s="89" t="n">
        <v>0.026145</v>
      </c>
      <c r="M368" s="15" t="s">
        <v>33</v>
      </c>
      <c r="N368" s="18" t="n">
        <v>0</v>
      </c>
      <c r="O368" s="18" t="n">
        <v>0.026145</v>
      </c>
      <c r="P368" s="18" t="n">
        <v>0.026145</v>
      </c>
    </row>
    <row r="369" customFormat="false" ht="13.8" hidden="true" customHeight="false" outlineLevel="1" collapsed="false">
      <c r="B369" s="15" t="s">
        <v>25</v>
      </c>
      <c r="C369" s="26" t="n">
        <f aca="false">E368+1</f>
        <v>52810</v>
      </c>
      <c r="E369" s="26" t="n">
        <f aca="false">EOMONTH(C369,0)</f>
        <v>52840</v>
      </c>
      <c r="G369" s="15" t="s">
        <v>33</v>
      </c>
      <c r="H369" s="130"/>
      <c r="I369" s="89" t="n">
        <v>0.026145</v>
      </c>
      <c r="J369" s="89" t="n">
        <v>0.026145</v>
      </c>
      <c r="M369" s="15" t="s">
        <v>33</v>
      </c>
      <c r="N369" s="18" t="n">
        <v>0</v>
      </c>
      <c r="O369" s="18" t="n">
        <v>0.026145</v>
      </c>
      <c r="P369" s="18" t="n">
        <v>0.026145</v>
      </c>
    </row>
    <row r="370" customFormat="false" ht="13.8" hidden="true" customHeight="false" outlineLevel="1" collapsed="false">
      <c r="B370" s="15" t="s">
        <v>25</v>
      </c>
      <c r="C370" s="26" t="n">
        <f aca="false">E369+1</f>
        <v>52841</v>
      </c>
      <c r="E370" s="26" t="n">
        <f aca="false">EOMONTH(C370,0)</f>
        <v>52870</v>
      </c>
      <c r="G370" s="15" t="s">
        <v>33</v>
      </c>
      <c r="H370" s="130"/>
      <c r="I370" s="89" t="n">
        <v>0.026145</v>
      </c>
      <c r="J370" s="89" t="n">
        <v>0.026145</v>
      </c>
      <c r="M370" s="15" t="s">
        <v>33</v>
      </c>
      <c r="N370" s="18" t="n">
        <v>0</v>
      </c>
      <c r="O370" s="18" t="n">
        <v>0.026145</v>
      </c>
      <c r="P370" s="18" t="n">
        <v>0.026145</v>
      </c>
    </row>
    <row r="371" customFormat="false" ht="13.8" hidden="true" customHeight="false" outlineLevel="1" collapsed="false">
      <c r="B371" s="15" t="s">
        <v>25</v>
      </c>
      <c r="C371" s="26" t="n">
        <f aca="false">E370+1</f>
        <v>52871</v>
      </c>
      <c r="E371" s="26" t="n">
        <f aca="false">EOMONTH(C371,0)</f>
        <v>52901</v>
      </c>
      <c r="G371" s="15" t="s">
        <v>33</v>
      </c>
      <c r="H371" s="130"/>
      <c r="I371" s="89" t="n">
        <v>0.026145</v>
      </c>
      <c r="J371" s="89" t="n">
        <v>0.026145</v>
      </c>
      <c r="M371" s="15" t="s">
        <v>33</v>
      </c>
      <c r="N371" s="18" t="n">
        <v>0</v>
      </c>
      <c r="O371" s="18" t="n">
        <v>0.026145</v>
      </c>
      <c r="P371" s="18" t="n">
        <v>0.026145</v>
      </c>
    </row>
    <row r="372" customFormat="false" ht="13.8" hidden="true" customHeight="false" outlineLevel="1" collapsed="false">
      <c r="B372" s="15" t="s">
        <v>25</v>
      </c>
      <c r="C372" s="26" t="n">
        <f aca="false">E371+1</f>
        <v>52902</v>
      </c>
      <c r="E372" s="26" t="n">
        <f aca="false">EOMONTH(C372,0)</f>
        <v>52931</v>
      </c>
      <c r="G372" s="15" t="s">
        <v>33</v>
      </c>
      <c r="H372" s="130"/>
      <c r="I372" s="89" t="n">
        <v>0.026145</v>
      </c>
      <c r="J372" s="89" t="n">
        <v>0.026145</v>
      </c>
      <c r="M372" s="15" t="s">
        <v>33</v>
      </c>
      <c r="N372" s="18" t="n">
        <v>0</v>
      </c>
      <c r="O372" s="18" t="n">
        <v>0.026145</v>
      </c>
      <c r="P372" s="18" t="n">
        <v>0.026145</v>
      </c>
    </row>
    <row r="373" customFormat="false" ht="13.8" hidden="true" customHeight="false" outlineLevel="1" collapsed="false">
      <c r="B373" s="15" t="s">
        <v>25</v>
      </c>
      <c r="C373" s="26" t="n">
        <f aca="false">E372+1</f>
        <v>52932</v>
      </c>
      <c r="E373" s="26" t="n">
        <f aca="false">EOMONTH(C373,0)</f>
        <v>52962</v>
      </c>
      <c r="G373" s="15" t="s">
        <v>33</v>
      </c>
      <c r="H373" s="130"/>
      <c r="I373" s="89" t="n">
        <v>0.026145</v>
      </c>
      <c r="J373" s="89" t="n">
        <v>0.026145</v>
      </c>
      <c r="M373" s="15" t="s">
        <v>33</v>
      </c>
      <c r="N373" s="18" t="n">
        <v>0</v>
      </c>
      <c r="O373" s="18" t="n">
        <v>0.026145</v>
      </c>
      <c r="P373" s="18" t="n">
        <v>0.026145</v>
      </c>
    </row>
    <row r="374" customFormat="false" ht="13.8" hidden="true" customHeight="false" outlineLevel="1" collapsed="false">
      <c r="B374" s="15" t="s">
        <v>25</v>
      </c>
      <c r="C374" s="26" t="n">
        <f aca="false">E373+1</f>
        <v>52963</v>
      </c>
      <c r="E374" s="26" t="n">
        <f aca="false">EOMONTH(C374,0)</f>
        <v>52993</v>
      </c>
      <c r="G374" s="15" t="s">
        <v>33</v>
      </c>
      <c r="H374" s="130"/>
      <c r="I374" s="89" t="n">
        <v>0.026145</v>
      </c>
      <c r="J374" s="89" t="n">
        <v>0.026145</v>
      </c>
      <c r="M374" s="15" t="s">
        <v>33</v>
      </c>
      <c r="N374" s="18" t="n">
        <v>0</v>
      </c>
      <c r="O374" s="18" t="n">
        <v>0.026145</v>
      </c>
      <c r="P374" s="18" t="n">
        <v>0.026145</v>
      </c>
    </row>
    <row r="375" customFormat="false" ht="13.8" hidden="true" customHeight="false" outlineLevel="1" collapsed="false">
      <c r="B375" s="15" t="s">
        <v>25</v>
      </c>
      <c r="C375" s="26" t="n">
        <f aca="false">E374+1</f>
        <v>52994</v>
      </c>
      <c r="E375" s="26" t="n">
        <f aca="false">EOMONTH(C375,0)</f>
        <v>53021</v>
      </c>
      <c r="G375" s="15" t="s">
        <v>33</v>
      </c>
      <c r="H375" s="130"/>
      <c r="I375" s="89" t="n">
        <v>0.026145</v>
      </c>
      <c r="J375" s="89" t="n">
        <v>0.026145</v>
      </c>
      <c r="M375" s="15" t="s">
        <v>33</v>
      </c>
      <c r="N375" s="18" t="n">
        <v>0</v>
      </c>
      <c r="O375" s="18" t="n">
        <v>0.026145</v>
      </c>
      <c r="P375" s="18" t="n">
        <v>0.026145</v>
      </c>
    </row>
    <row r="376" customFormat="false" ht="13.8" hidden="true" customHeight="false" outlineLevel="1" collapsed="false">
      <c r="B376" s="15" t="s">
        <v>25</v>
      </c>
      <c r="C376" s="26" t="n">
        <f aca="false">E375+1</f>
        <v>53022</v>
      </c>
      <c r="E376" s="26" t="n">
        <f aca="false">EOMONTH(C376,0)</f>
        <v>53052</v>
      </c>
      <c r="G376" s="15" t="s">
        <v>33</v>
      </c>
      <c r="H376" s="130"/>
      <c r="I376" s="89" t="n">
        <v>0.026145</v>
      </c>
      <c r="J376" s="89" t="n">
        <v>0.026145</v>
      </c>
      <c r="M376" s="15" t="s">
        <v>33</v>
      </c>
      <c r="N376" s="18" t="n">
        <v>0</v>
      </c>
      <c r="O376" s="18" t="n">
        <v>0.026145</v>
      </c>
      <c r="P376" s="18" t="n">
        <v>0.026145</v>
      </c>
    </row>
    <row r="377" customFormat="false" ht="13.8" hidden="true" customHeight="false" outlineLevel="1" collapsed="false">
      <c r="B377" s="15" t="s">
        <v>25</v>
      </c>
      <c r="C377" s="26" t="n">
        <f aca="false">E376+1</f>
        <v>53053</v>
      </c>
      <c r="E377" s="26" t="n">
        <f aca="false">EOMONTH(C377,0)</f>
        <v>53082</v>
      </c>
      <c r="G377" s="15" t="s">
        <v>33</v>
      </c>
      <c r="H377" s="130"/>
      <c r="I377" s="89" t="n">
        <v>0.026145</v>
      </c>
      <c r="J377" s="89" t="n">
        <v>0.026145</v>
      </c>
      <c r="M377" s="15" t="s">
        <v>33</v>
      </c>
      <c r="N377" s="18" t="n">
        <v>0</v>
      </c>
      <c r="O377" s="18" t="n">
        <v>0.026145</v>
      </c>
      <c r="P377" s="18" t="n">
        <v>0.026145</v>
      </c>
    </row>
    <row r="378" customFormat="false" ht="13.8" hidden="true" customHeight="false" outlineLevel="1" collapsed="false">
      <c r="B378" s="15" t="s">
        <v>25</v>
      </c>
      <c r="C378" s="26" t="n">
        <f aca="false">E377+1</f>
        <v>53083</v>
      </c>
      <c r="E378" s="26" t="n">
        <f aca="false">EOMONTH(C378,0)</f>
        <v>53113</v>
      </c>
      <c r="G378" s="15" t="s">
        <v>33</v>
      </c>
      <c r="H378" s="130"/>
      <c r="I378" s="89" t="n">
        <v>0.026145</v>
      </c>
      <c r="J378" s="89" t="n">
        <v>0.026145</v>
      </c>
      <c r="M378" s="15" t="s">
        <v>33</v>
      </c>
      <c r="N378" s="18" t="n">
        <v>0</v>
      </c>
      <c r="O378" s="18" t="n">
        <v>0.026145</v>
      </c>
      <c r="P378" s="18" t="n">
        <v>0.026145</v>
      </c>
    </row>
    <row r="379" customFormat="false" ht="13.8" hidden="true" customHeight="false" outlineLevel="1" collapsed="false">
      <c r="B379" s="15" t="s">
        <v>25</v>
      </c>
      <c r="C379" s="26" t="n">
        <f aca="false">E378+1</f>
        <v>53114</v>
      </c>
      <c r="E379" s="26" t="n">
        <f aca="false">EOMONTH(C379,0)</f>
        <v>53143</v>
      </c>
      <c r="G379" s="15" t="s">
        <v>33</v>
      </c>
      <c r="H379" s="130"/>
      <c r="I379" s="89" t="n">
        <v>0.026145</v>
      </c>
      <c r="J379" s="89" t="n">
        <v>0.026145</v>
      </c>
      <c r="M379" s="15" t="s">
        <v>33</v>
      </c>
      <c r="N379" s="18" t="n">
        <v>0</v>
      </c>
      <c r="O379" s="18" t="n">
        <v>0.026145</v>
      </c>
      <c r="P379" s="18" t="n">
        <v>0.026145</v>
      </c>
    </row>
    <row r="380" customFormat="false" ht="13.8" hidden="true" customHeight="false" outlineLevel="1" collapsed="false">
      <c r="B380" s="15" t="s">
        <v>25</v>
      </c>
      <c r="C380" s="26" t="n">
        <f aca="false">E379+1</f>
        <v>53144</v>
      </c>
      <c r="E380" s="26" t="n">
        <f aca="false">EOMONTH(C380,0)</f>
        <v>53174</v>
      </c>
      <c r="G380" s="15" t="s">
        <v>33</v>
      </c>
      <c r="H380" s="130"/>
      <c r="I380" s="89" t="n">
        <v>0.026145</v>
      </c>
      <c r="J380" s="89" t="n">
        <v>0.026145</v>
      </c>
      <c r="M380" s="15" t="s">
        <v>33</v>
      </c>
      <c r="N380" s="18" t="n">
        <v>0</v>
      </c>
      <c r="O380" s="18" t="n">
        <v>0.026145</v>
      </c>
      <c r="P380" s="18" t="n">
        <v>0.026145</v>
      </c>
    </row>
    <row r="381" customFormat="false" ht="13.8" hidden="true" customHeight="false" outlineLevel="1" collapsed="false">
      <c r="B381" s="15" t="s">
        <v>25</v>
      </c>
      <c r="C381" s="26" t="n">
        <f aca="false">E380+1</f>
        <v>53175</v>
      </c>
      <c r="E381" s="26" t="n">
        <f aca="false">EOMONTH(C381,0)</f>
        <v>53205</v>
      </c>
      <c r="G381" s="15" t="s">
        <v>33</v>
      </c>
      <c r="H381" s="130"/>
      <c r="I381" s="89" t="n">
        <v>0.026145</v>
      </c>
      <c r="J381" s="89" t="n">
        <v>0.026145</v>
      </c>
      <c r="M381" s="15" t="s">
        <v>33</v>
      </c>
      <c r="N381" s="18" t="n">
        <v>0</v>
      </c>
      <c r="O381" s="18" t="n">
        <v>0.026145</v>
      </c>
      <c r="P381" s="18" t="n">
        <v>0.026145</v>
      </c>
    </row>
    <row r="382" customFormat="false" ht="13.8" hidden="true" customHeight="false" outlineLevel="1" collapsed="false">
      <c r="B382" s="15" t="s">
        <v>25</v>
      </c>
      <c r="C382" s="26" t="n">
        <f aca="false">E381+1</f>
        <v>53206</v>
      </c>
      <c r="E382" s="26" t="n">
        <f aca="false">EOMONTH(C382,0)</f>
        <v>53235</v>
      </c>
      <c r="G382" s="15" t="s">
        <v>33</v>
      </c>
      <c r="H382" s="130"/>
      <c r="I382" s="89" t="n">
        <v>0.026145</v>
      </c>
      <c r="J382" s="89" t="n">
        <v>0.026145</v>
      </c>
      <c r="M382" s="15" t="s">
        <v>33</v>
      </c>
      <c r="N382" s="18" t="n">
        <v>0</v>
      </c>
      <c r="O382" s="18" t="n">
        <v>0.026145</v>
      </c>
      <c r="P382" s="18" t="n">
        <v>0.026145</v>
      </c>
    </row>
    <row r="383" customFormat="false" ht="13.8" hidden="true" customHeight="false" outlineLevel="1" collapsed="false">
      <c r="B383" s="15" t="s">
        <v>25</v>
      </c>
      <c r="C383" s="26" t="n">
        <f aca="false">E382+1</f>
        <v>53236</v>
      </c>
      <c r="E383" s="26" t="n">
        <f aca="false">EOMONTH(C383,0)</f>
        <v>53266</v>
      </c>
      <c r="G383" s="15" t="s">
        <v>33</v>
      </c>
      <c r="H383" s="130"/>
      <c r="I383" s="89" t="n">
        <v>0.026145</v>
      </c>
      <c r="J383" s="89" t="n">
        <v>0.026145</v>
      </c>
      <c r="M383" s="15" t="s">
        <v>33</v>
      </c>
      <c r="N383" s="18" t="n">
        <v>0</v>
      </c>
      <c r="O383" s="18" t="n">
        <v>0.026145</v>
      </c>
      <c r="P383" s="18" t="n">
        <v>0.026145</v>
      </c>
    </row>
    <row r="384" customFormat="false" ht="13.8" hidden="true" customHeight="false" outlineLevel="1" collapsed="false">
      <c r="B384" s="15" t="s">
        <v>25</v>
      </c>
      <c r="C384" s="26" t="n">
        <f aca="false">E383+1</f>
        <v>53267</v>
      </c>
      <c r="E384" s="26" t="n">
        <f aca="false">EOMONTH(C384,0)</f>
        <v>53296</v>
      </c>
      <c r="G384" s="15" t="s">
        <v>33</v>
      </c>
      <c r="H384" s="130"/>
      <c r="I384" s="89" t="n">
        <v>0.026145</v>
      </c>
      <c r="J384" s="89" t="n">
        <v>0.026145</v>
      </c>
      <c r="M384" s="15" t="s">
        <v>33</v>
      </c>
      <c r="N384" s="18" t="n">
        <v>0</v>
      </c>
      <c r="O384" s="18" t="n">
        <v>0.026145</v>
      </c>
      <c r="P384" s="18" t="n">
        <v>0.026145</v>
      </c>
    </row>
    <row r="385" customFormat="false" ht="13.8" hidden="true" customHeight="false" outlineLevel="1" collapsed="false">
      <c r="B385" s="15" t="s">
        <v>25</v>
      </c>
      <c r="C385" s="26" t="n">
        <f aca="false">E384+1</f>
        <v>53297</v>
      </c>
      <c r="E385" s="26" t="n">
        <f aca="false">EOMONTH(C385,0)</f>
        <v>53327</v>
      </c>
      <c r="G385" s="15" t="s">
        <v>33</v>
      </c>
      <c r="H385" s="130"/>
      <c r="I385" s="89" t="n">
        <v>0.026145</v>
      </c>
      <c r="J385" s="89" t="n">
        <v>0.026145</v>
      </c>
      <c r="M385" s="15" t="s">
        <v>33</v>
      </c>
      <c r="N385" s="18" t="n">
        <v>0</v>
      </c>
      <c r="O385" s="18" t="n">
        <v>0.026145</v>
      </c>
      <c r="P385" s="18" t="n">
        <v>0.026145</v>
      </c>
    </row>
    <row r="386" customFormat="false" ht="13.8" hidden="true" customHeight="false" outlineLevel="1" collapsed="false">
      <c r="B386" s="15" t="s">
        <v>25</v>
      </c>
      <c r="C386" s="26" t="n">
        <f aca="false">E385+1</f>
        <v>53328</v>
      </c>
      <c r="E386" s="26" t="n">
        <f aca="false">EOMONTH(C386,0)</f>
        <v>53358</v>
      </c>
      <c r="G386" s="15" t="s">
        <v>33</v>
      </c>
      <c r="H386" s="130"/>
      <c r="I386" s="89" t="n">
        <v>0.026145</v>
      </c>
      <c r="J386" s="89" t="n">
        <v>0.026145</v>
      </c>
      <c r="M386" s="15" t="s">
        <v>33</v>
      </c>
      <c r="N386" s="18" t="n">
        <v>0</v>
      </c>
      <c r="O386" s="18" t="n">
        <v>0.026145</v>
      </c>
      <c r="P386" s="18" t="n">
        <v>0.026145</v>
      </c>
    </row>
    <row r="387" customFormat="false" ht="13.8" hidden="true" customHeight="false" outlineLevel="1" collapsed="false">
      <c r="B387" s="15" t="s">
        <v>25</v>
      </c>
      <c r="C387" s="26" t="n">
        <f aca="false">E386+1</f>
        <v>53359</v>
      </c>
      <c r="E387" s="26" t="n">
        <f aca="false">EOMONTH(C387,0)</f>
        <v>53386</v>
      </c>
      <c r="G387" s="15" t="s">
        <v>33</v>
      </c>
      <c r="H387" s="130"/>
      <c r="I387" s="89" t="n">
        <v>0.026145</v>
      </c>
      <c r="J387" s="89" t="n">
        <v>0.026145</v>
      </c>
      <c r="M387" s="15" t="s">
        <v>33</v>
      </c>
      <c r="N387" s="18" t="n">
        <v>0</v>
      </c>
      <c r="O387" s="18" t="n">
        <v>0.026145</v>
      </c>
      <c r="P387" s="18" t="n">
        <v>0.026145</v>
      </c>
    </row>
    <row r="388" customFormat="false" ht="13.8" hidden="true" customHeight="false" outlineLevel="1" collapsed="false">
      <c r="B388" s="15" t="s">
        <v>25</v>
      </c>
      <c r="C388" s="26" t="n">
        <f aca="false">E387+1</f>
        <v>53387</v>
      </c>
      <c r="E388" s="26" t="n">
        <f aca="false">EOMONTH(C388,0)</f>
        <v>53417</v>
      </c>
      <c r="G388" s="15" t="s">
        <v>33</v>
      </c>
      <c r="H388" s="130"/>
      <c r="I388" s="89" t="n">
        <v>0.026145</v>
      </c>
      <c r="J388" s="89" t="n">
        <v>0.026145</v>
      </c>
      <c r="M388" s="15" t="s">
        <v>33</v>
      </c>
      <c r="N388" s="18" t="n">
        <v>0</v>
      </c>
      <c r="O388" s="18" t="n">
        <v>0.026145</v>
      </c>
      <c r="P388" s="18" t="n">
        <v>0.026145</v>
      </c>
    </row>
    <row r="389" customFormat="false" ht="13.8" hidden="true" customHeight="false" outlineLevel="1" collapsed="false">
      <c r="B389" s="15" t="s">
        <v>25</v>
      </c>
      <c r="C389" s="26" t="n">
        <f aca="false">E388+1</f>
        <v>53418</v>
      </c>
      <c r="E389" s="26" t="n">
        <f aca="false">EOMONTH(C389,0)</f>
        <v>53447</v>
      </c>
      <c r="G389" s="15" t="s">
        <v>33</v>
      </c>
      <c r="H389" s="130"/>
      <c r="I389" s="89" t="n">
        <v>0.026145</v>
      </c>
      <c r="J389" s="89" t="n">
        <v>0.026145</v>
      </c>
      <c r="M389" s="15" t="s">
        <v>33</v>
      </c>
      <c r="N389" s="18" t="n">
        <v>0</v>
      </c>
      <c r="O389" s="18" t="n">
        <v>0.026145</v>
      </c>
      <c r="P389" s="18" t="n">
        <v>0.026145</v>
      </c>
    </row>
    <row r="390" customFormat="false" ht="13.8" hidden="true" customHeight="false" outlineLevel="1" collapsed="false">
      <c r="B390" s="15" t="s">
        <v>25</v>
      </c>
      <c r="C390" s="26" t="n">
        <f aca="false">E389+1</f>
        <v>53448</v>
      </c>
      <c r="E390" s="26" t="n">
        <f aca="false">EOMONTH(C390,0)</f>
        <v>53478</v>
      </c>
      <c r="G390" s="15" t="s">
        <v>33</v>
      </c>
      <c r="H390" s="130"/>
      <c r="I390" s="89" t="n">
        <v>0.026145</v>
      </c>
      <c r="J390" s="89" t="n">
        <v>0.026145</v>
      </c>
      <c r="M390" s="15" t="s">
        <v>33</v>
      </c>
      <c r="N390" s="18" t="n">
        <v>0</v>
      </c>
      <c r="O390" s="18" t="n">
        <v>0.026145</v>
      </c>
      <c r="P390" s="18" t="n">
        <v>0.026145</v>
      </c>
    </row>
    <row r="391" customFormat="false" ht="13.8" hidden="true" customHeight="false" outlineLevel="1" collapsed="false">
      <c r="B391" s="15" t="s">
        <v>25</v>
      </c>
      <c r="C391" s="26" t="n">
        <f aca="false">E390+1</f>
        <v>53479</v>
      </c>
      <c r="E391" s="26" t="n">
        <f aca="false">EOMONTH(C391,0)</f>
        <v>53508</v>
      </c>
      <c r="G391" s="15" t="s">
        <v>33</v>
      </c>
      <c r="H391" s="130"/>
      <c r="I391" s="89" t="n">
        <v>0.026145</v>
      </c>
      <c r="J391" s="89" t="n">
        <v>0.026145</v>
      </c>
      <c r="M391" s="15" t="s">
        <v>33</v>
      </c>
      <c r="N391" s="18" t="n">
        <v>0</v>
      </c>
      <c r="O391" s="18" t="n">
        <v>0.026145</v>
      </c>
      <c r="P391" s="18" t="n">
        <v>0.026145</v>
      </c>
    </row>
    <row r="392" customFormat="false" ht="13.8" hidden="true" customHeight="false" outlineLevel="1" collapsed="false">
      <c r="B392" s="15" t="s">
        <v>25</v>
      </c>
      <c r="C392" s="26" t="n">
        <f aca="false">E391+1</f>
        <v>53509</v>
      </c>
      <c r="E392" s="26" t="n">
        <f aca="false">EOMONTH(C392,0)</f>
        <v>53539</v>
      </c>
      <c r="G392" s="15" t="s">
        <v>33</v>
      </c>
      <c r="H392" s="130"/>
      <c r="I392" s="89" t="n">
        <v>0.026145</v>
      </c>
      <c r="J392" s="89" t="n">
        <v>0.026145</v>
      </c>
      <c r="M392" s="15" t="s">
        <v>33</v>
      </c>
      <c r="N392" s="18" t="n">
        <v>0</v>
      </c>
      <c r="O392" s="18" t="n">
        <v>0.026145</v>
      </c>
      <c r="P392" s="18" t="n">
        <v>0.026145</v>
      </c>
    </row>
    <row r="393" customFormat="false" ht="13.8" hidden="true" customHeight="false" outlineLevel="1" collapsed="false">
      <c r="B393" s="15" t="s">
        <v>25</v>
      </c>
      <c r="C393" s="26" t="n">
        <f aca="false">E392+1</f>
        <v>53540</v>
      </c>
      <c r="E393" s="26" t="n">
        <f aca="false">EOMONTH(C393,0)</f>
        <v>53570</v>
      </c>
      <c r="G393" s="15" t="s">
        <v>33</v>
      </c>
      <c r="H393" s="130"/>
      <c r="I393" s="89" t="n">
        <v>0.026145</v>
      </c>
      <c r="J393" s="89" t="n">
        <v>0.026145</v>
      </c>
      <c r="M393" s="15" t="s">
        <v>33</v>
      </c>
      <c r="N393" s="18" t="n">
        <v>0</v>
      </c>
      <c r="O393" s="18" t="n">
        <v>0.026145</v>
      </c>
      <c r="P393" s="18" t="n">
        <v>0.026145</v>
      </c>
    </row>
    <row r="394" customFormat="false" ht="13.8" hidden="true" customHeight="false" outlineLevel="1" collapsed="false">
      <c r="B394" s="15" t="s">
        <v>25</v>
      </c>
      <c r="C394" s="26" t="n">
        <f aca="false">E393+1</f>
        <v>53571</v>
      </c>
      <c r="E394" s="26" t="n">
        <f aca="false">EOMONTH(C394,0)</f>
        <v>53600</v>
      </c>
      <c r="G394" s="15" t="s">
        <v>33</v>
      </c>
      <c r="H394" s="130"/>
      <c r="I394" s="89" t="n">
        <v>0.026145</v>
      </c>
      <c r="J394" s="89" t="n">
        <v>0.026145</v>
      </c>
      <c r="M394" s="15" t="s">
        <v>33</v>
      </c>
      <c r="N394" s="18" t="n">
        <v>0</v>
      </c>
      <c r="O394" s="18" t="n">
        <v>0.026145</v>
      </c>
      <c r="P394" s="18" t="n">
        <v>0.026145</v>
      </c>
    </row>
    <row r="395" customFormat="false" ht="13.8" hidden="true" customHeight="false" outlineLevel="1" collapsed="false">
      <c r="B395" s="15" t="s">
        <v>25</v>
      </c>
      <c r="C395" s="26" t="n">
        <f aca="false">E394+1</f>
        <v>53601</v>
      </c>
      <c r="E395" s="26" t="n">
        <f aca="false">EOMONTH(C395,0)</f>
        <v>53631</v>
      </c>
      <c r="G395" s="15" t="s">
        <v>33</v>
      </c>
      <c r="H395" s="130"/>
      <c r="I395" s="89" t="n">
        <v>0.026145</v>
      </c>
      <c r="J395" s="89" t="n">
        <v>0.026145</v>
      </c>
      <c r="M395" s="15" t="s">
        <v>33</v>
      </c>
      <c r="N395" s="18" t="n">
        <v>0</v>
      </c>
      <c r="O395" s="18" t="n">
        <v>0.026145</v>
      </c>
      <c r="P395" s="18" t="n">
        <v>0.026145</v>
      </c>
    </row>
    <row r="396" customFormat="false" ht="13.8" hidden="true" customHeight="false" outlineLevel="1" collapsed="false">
      <c r="B396" s="15" t="s">
        <v>25</v>
      </c>
      <c r="C396" s="26" t="n">
        <f aca="false">E395+1</f>
        <v>53632</v>
      </c>
      <c r="E396" s="26" t="n">
        <f aca="false">EOMONTH(C396,0)</f>
        <v>53661</v>
      </c>
      <c r="G396" s="15" t="s">
        <v>33</v>
      </c>
      <c r="H396" s="130"/>
      <c r="I396" s="89" t="n">
        <v>0.026145</v>
      </c>
      <c r="J396" s="89" t="n">
        <v>0.026145</v>
      </c>
      <c r="M396" s="15" t="s">
        <v>33</v>
      </c>
      <c r="N396" s="18" t="n">
        <v>0</v>
      </c>
      <c r="O396" s="18" t="n">
        <v>0.026145</v>
      </c>
      <c r="P396" s="18" t="n">
        <v>0.026145</v>
      </c>
    </row>
    <row r="397" customFormat="false" ht="13.8" hidden="true" customHeight="false" outlineLevel="1" collapsed="false">
      <c r="B397" s="15" t="s">
        <v>25</v>
      </c>
      <c r="C397" s="26" t="n">
        <f aca="false">E396+1</f>
        <v>53662</v>
      </c>
      <c r="E397" s="26" t="n">
        <f aca="false">EOMONTH(C397,0)</f>
        <v>53692</v>
      </c>
      <c r="G397" s="15" t="s">
        <v>33</v>
      </c>
      <c r="H397" s="130"/>
      <c r="I397" s="89" t="n">
        <v>0.026145</v>
      </c>
      <c r="J397" s="89" t="n">
        <v>0.026145</v>
      </c>
      <c r="M397" s="15" t="s">
        <v>33</v>
      </c>
      <c r="N397" s="18" t="n">
        <v>0</v>
      </c>
      <c r="O397" s="18" t="n">
        <v>0.026145</v>
      </c>
      <c r="P397" s="18" t="n">
        <v>0.026145</v>
      </c>
    </row>
    <row r="398" customFormat="false" ht="13.8" hidden="true" customHeight="false" outlineLevel="1" collapsed="false">
      <c r="B398" s="15" t="s">
        <v>25</v>
      </c>
      <c r="C398" s="26" t="n">
        <f aca="false">E397+1</f>
        <v>53693</v>
      </c>
      <c r="E398" s="26" t="n">
        <f aca="false">EOMONTH(C398,0)</f>
        <v>53723</v>
      </c>
      <c r="G398" s="15" t="s">
        <v>33</v>
      </c>
      <c r="H398" s="130"/>
      <c r="I398" s="89" t="n">
        <v>0.026145</v>
      </c>
      <c r="J398" s="89" t="n">
        <v>0.026145</v>
      </c>
      <c r="M398" s="15" t="s">
        <v>33</v>
      </c>
      <c r="N398" s="18" t="n">
        <v>0</v>
      </c>
      <c r="O398" s="18" t="n">
        <v>0.026145</v>
      </c>
      <c r="P398" s="18" t="n">
        <v>0.026145</v>
      </c>
    </row>
    <row r="399" customFormat="false" ht="13.8" hidden="true" customHeight="false" outlineLevel="1" collapsed="false">
      <c r="B399" s="15" t="s">
        <v>25</v>
      </c>
      <c r="C399" s="26" t="n">
        <f aca="false">E398+1</f>
        <v>53724</v>
      </c>
      <c r="E399" s="26" t="n">
        <f aca="false">EOMONTH(C399,0)</f>
        <v>53751</v>
      </c>
      <c r="G399" s="15" t="s">
        <v>33</v>
      </c>
      <c r="H399" s="130"/>
      <c r="I399" s="89" t="n">
        <v>0.026145</v>
      </c>
      <c r="J399" s="89" t="n">
        <v>0.026145</v>
      </c>
      <c r="M399" s="15" t="s">
        <v>33</v>
      </c>
      <c r="N399" s="18" t="n">
        <v>0</v>
      </c>
      <c r="O399" s="18" t="n">
        <v>0.026145</v>
      </c>
      <c r="P399" s="18" t="n">
        <v>0.026145</v>
      </c>
    </row>
    <row r="400" customFormat="false" ht="13.8" hidden="true" customHeight="false" outlineLevel="1" collapsed="false">
      <c r="B400" s="15" t="s">
        <v>25</v>
      </c>
      <c r="C400" s="26" t="n">
        <f aca="false">E399+1</f>
        <v>53752</v>
      </c>
      <c r="E400" s="26" t="n">
        <f aca="false">EOMONTH(C400,0)</f>
        <v>53782</v>
      </c>
      <c r="G400" s="15" t="s">
        <v>33</v>
      </c>
      <c r="H400" s="130"/>
      <c r="I400" s="89" t="n">
        <v>0.026145</v>
      </c>
      <c r="J400" s="89" t="n">
        <v>0.026145</v>
      </c>
      <c r="M400" s="15" t="s">
        <v>33</v>
      </c>
      <c r="N400" s="18" t="n">
        <v>0</v>
      </c>
      <c r="O400" s="18" t="n">
        <v>0.026145</v>
      </c>
      <c r="P400" s="18" t="n">
        <v>0.026145</v>
      </c>
    </row>
    <row r="401" customFormat="false" ht="13.8" hidden="true" customHeight="false" outlineLevel="1" collapsed="false">
      <c r="B401" s="15" t="s">
        <v>25</v>
      </c>
      <c r="C401" s="26" t="n">
        <f aca="false">E400+1</f>
        <v>53783</v>
      </c>
      <c r="E401" s="26" t="n">
        <f aca="false">EOMONTH(C401,0)</f>
        <v>53812</v>
      </c>
      <c r="G401" s="15" t="s">
        <v>33</v>
      </c>
      <c r="H401" s="130"/>
      <c r="I401" s="89" t="n">
        <v>0.026145</v>
      </c>
      <c r="J401" s="89" t="n">
        <v>0.026145</v>
      </c>
      <c r="M401" s="15" t="s">
        <v>33</v>
      </c>
      <c r="N401" s="18" t="n">
        <v>0</v>
      </c>
      <c r="O401" s="18" t="n">
        <v>0.026145</v>
      </c>
      <c r="P401" s="18" t="n">
        <v>0.026145</v>
      </c>
    </row>
    <row r="402" customFormat="false" ht="13.8" hidden="true" customHeight="false" outlineLevel="1" collapsed="false">
      <c r="B402" s="15" t="s">
        <v>25</v>
      </c>
      <c r="C402" s="26" t="n">
        <f aca="false">E401+1</f>
        <v>53813</v>
      </c>
      <c r="E402" s="26" t="n">
        <f aca="false">EOMONTH(C402,0)</f>
        <v>53843</v>
      </c>
      <c r="G402" s="15" t="s">
        <v>33</v>
      </c>
      <c r="H402" s="130"/>
      <c r="I402" s="89" t="n">
        <v>0.026145</v>
      </c>
      <c r="J402" s="89" t="n">
        <v>0.026145</v>
      </c>
      <c r="M402" s="15" t="s">
        <v>33</v>
      </c>
      <c r="N402" s="18" t="n">
        <v>0</v>
      </c>
      <c r="O402" s="18" t="n">
        <v>0.026145</v>
      </c>
      <c r="P402" s="18" t="n">
        <v>0.026145</v>
      </c>
    </row>
    <row r="403" customFormat="false" ht="13.8" hidden="true" customHeight="false" outlineLevel="1" collapsed="false">
      <c r="B403" s="15" t="s">
        <v>25</v>
      </c>
      <c r="C403" s="26" t="n">
        <f aca="false">E402+1</f>
        <v>53844</v>
      </c>
      <c r="E403" s="26" t="n">
        <f aca="false">EOMONTH(C403,0)</f>
        <v>53873</v>
      </c>
      <c r="G403" s="15" t="s">
        <v>33</v>
      </c>
      <c r="H403" s="130"/>
      <c r="I403" s="89" t="n">
        <v>0.026145</v>
      </c>
      <c r="J403" s="89" t="n">
        <v>0.026145</v>
      </c>
      <c r="M403" s="15" t="s">
        <v>33</v>
      </c>
      <c r="N403" s="18" t="n">
        <v>0</v>
      </c>
      <c r="O403" s="18" t="n">
        <v>0.026145</v>
      </c>
      <c r="P403" s="18" t="n">
        <v>0.026145</v>
      </c>
    </row>
    <row r="404" customFormat="false" ht="13.8" hidden="true" customHeight="false" outlineLevel="1" collapsed="false">
      <c r="B404" s="15" t="s">
        <v>25</v>
      </c>
      <c r="C404" s="26" t="n">
        <f aca="false">E403+1</f>
        <v>53874</v>
      </c>
      <c r="E404" s="26" t="n">
        <f aca="false">EOMONTH(C404,0)</f>
        <v>53904</v>
      </c>
      <c r="G404" s="15" t="s">
        <v>33</v>
      </c>
      <c r="H404" s="130"/>
      <c r="I404" s="89" t="n">
        <v>0.026145</v>
      </c>
      <c r="J404" s="89" t="n">
        <v>0.026145</v>
      </c>
      <c r="M404" s="15" t="s">
        <v>33</v>
      </c>
      <c r="N404" s="18" t="n">
        <v>0</v>
      </c>
      <c r="O404" s="18" t="n">
        <v>0.026145</v>
      </c>
      <c r="P404" s="18" t="n">
        <v>0.026145</v>
      </c>
    </row>
    <row r="405" customFormat="false" ht="13.8" hidden="true" customHeight="false" outlineLevel="1" collapsed="false">
      <c r="B405" s="15" t="s">
        <v>25</v>
      </c>
      <c r="C405" s="26" t="n">
        <f aca="false">E404+1</f>
        <v>53905</v>
      </c>
      <c r="E405" s="26" t="n">
        <f aca="false">EOMONTH(C405,0)</f>
        <v>53935</v>
      </c>
      <c r="G405" s="15" t="s">
        <v>33</v>
      </c>
      <c r="H405" s="130"/>
      <c r="I405" s="89" t="n">
        <v>0.026145</v>
      </c>
      <c r="J405" s="89" t="n">
        <v>0.026145</v>
      </c>
      <c r="M405" s="15" t="s">
        <v>33</v>
      </c>
      <c r="N405" s="18" t="n">
        <v>0</v>
      </c>
      <c r="O405" s="18" t="n">
        <v>0.026145</v>
      </c>
      <c r="P405" s="18" t="n">
        <v>0.026145</v>
      </c>
    </row>
    <row r="406" customFormat="false" ht="13.8" hidden="true" customHeight="false" outlineLevel="1" collapsed="false">
      <c r="B406" s="15" t="s">
        <v>25</v>
      </c>
      <c r="C406" s="26" t="n">
        <f aca="false">E405+1</f>
        <v>53936</v>
      </c>
      <c r="E406" s="26" t="n">
        <f aca="false">EOMONTH(C406,0)</f>
        <v>53965</v>
      </c>
      <c r="G406" s="15" t="s">
        <v>33</v>
      </c>
      <c r="H406" s="130"/>
      <c r="I406" s="89" t="n">
        <v>0.026145</v>
      </c>
      <c r="J406" s="89" t="n">
        <v>0.026145</v>
      </c>
      <c r="M406" s="15" t="s">
        <v>33</v>
      </c>
      <c r="N406" s="18" t="n">
        <v>0</v>
      </c>
      <c r="O406" s="18" t="n">
        <v>0.026145</v>
      </c>
      <c r="P406" s="18" t="n">
        <v>0.026145</v>
      </c>
    </row>
    <row r="407" customFormat="false" ht="13.8" hidden="true" customHeight="false" outlineLevel="1" collapsed="false">
      <c r="B407" s="15" t="s">
        <v>25</v>
      </c>
      <c r="C407" s="26" t="n">
        <f aca="false">E406+1</f>
        <v>53966</v>
      </c>
      <c r="E407" s="26" t="n">
        <f aca="false">EOMONTH(C407,0)</f>
        <v>53996</v>
      </c>
      <c r="G407" s="15" t="s">
        <v>33</v>
      </c>
      <c r="H407" s="130"/>
      <c r="I407" s="89" t="n">
        <v>0.026145</v>
      </c>
      <c r="J407" s="89" t="n">
        <v>0.026145</v>
      </c>
      <c r="M407" s="15" t="s">
        <v>33</v>
      </c>
      <c r="N407" s="18" t="n">
        <v>0</v>
      </c>
      <c r="O407" s="18" t="n">
        <v>0.026145</v>
      </c>
      <c r="P407" s="18" t="n">
        <v>0.026145</v>
      </c>
    </row>
    <row r="408" customFormat="false" ht="13.8" hidden="true" customHeight="false" outlineLevel="1" collapsed="false">
      <c r="B408" s="15" t="s">
        <v>25</v>
      </c>
      <c r="C408" s="26" t="n">
        <f aca="false">E407+1</f>
        <v>53997</v>
      </c>
      <c r="E408" s="26" t="n">
        <f aca="false">EOMONTH(C408,0)</f>
        <v>54026</v>
      </c>
      <c r="G408" s="15" t="s">
        <v>33</v>
      </c>
      <c r="H408" s="130"/>
      <c r="I408" s="89" t="n">
        <v>0.026145</v>
      </c>
      <c r="J408" s="89" t="n">
        <v>0.026145</v>
      </c>
      <c r="M408" s="15" t="s">
        <v>33</v>
      </c>
      <c r="N408" s="18" t="n">
        <v>0</v>
      </c>
      <c r="O408" s="18" t="n">
        <v>0.026145</v>
      </c>
      <c r="P408" s="18" t="n">
        <v>0.026145</v>
      </c>
    </row>
    <row r="409" customFormat="false" ht="13.8" hidden="true" customHeight="false" outlineLevel="1" collapsed="false">
      <c r="B409" s="15" t="s">
        <v>25</v>
      </c>
      <c r="C409" s="26" t="n">
        <f aca="false">E408+1</f>
        <v>54027</v>
      </c>
      <c r="E409" s="26" t="n">
        <f aca="false">EOMONTH(C409,0)</f>
        <v>54057</v>
      </c>
      <c r="G409" s="15" t="s">
        <v>33</v>
      </c>
      <c r="H409" s="130"/>
      <c r="I409" s="89" t="n">
        <v>0.026145</v>
      </c>
      <c r="J409" s="89" t="n">
        <v>0.026145</v>
      </c>
      <c r="M409" s="15" t="s">
        <v>33</v>
      </c>
      <c r="N409" s="18" t="n">
        <v>0</v>
      </c>
      <c r="O409" s="18" t="n">
        <v>0.026145</v>
      </c>
      <c r="P409" s="18" t="n">
        <v>0.026145</v>
      </c>
    </row>
    <row r="410" customFormat="false" ht="13.8" hidden="true" customHeight="false" outlineLevel="1" collapsed="false">
      <c r="B410" s="15" t="s">
        <v>25</v>
      </c>
      <c r="C410" s="26" t="n">
        <f aca="false">E409+1</f>
        <v>54058</v>
      </c>
      <c r="E410" s="26" t="n">
        <f aca="false">EOMONTH(C410,0)</f>
        <v>54088</v>
      </c>
      <c r="G410" s="15" t="s">
        <v>33</v>
      </c>
      <c r="H410" s="130"/>
      <c r="I410" s="89" t="n">
        <v>0.026145</v>
      </c>
      <c r="J410" s="89" t="n">
        <v>0.026145</v>
      </c>
      <c r="M410" s="15" t="s">
        <v>33</v>
      </c>
      <c r="N410" s="18" t="n">
        <v>0</v>
      </c>
      <c r="O410" s="18" t="n">
        <v>0.026145</v>
      </c>
      <c r="P410" s="18" t="n">
        <v>0.026145</v>
      </c>
    </row>
    <row r="411" customFormat="false" ht="13.8" hidden="true" customHeight="false" outlineLevel="1" collapsed="false">
      <c r="B411" s="15" t="s">
        <v>25</v>
      </c>
      <c r="C411" s="26" t="n">
        <f aca="false">E410+1</f>
        <v>54089</v>
      </c>
      <c r="E411" s="26" t="n">
        <f aca="false">EOMONTH(C411,0)</f>
        <v>54117</v>
      </c>
      <c r="G411" s="15" t="s">
        <v>33</v>
      </c>
      <c r="H411" s="130"/>
      <c r="I411" s="89" t="n">
        <v>0.026145</v>
      </c>
      <c r="J411" s="89" t="n">
        <v>0.026145</v>
      </c>
      <c r="M411" s="15" t="s">
        <v>33</v>
      </c>
      <c r="N411" s="18" t="n">
        <v>0</v>
      </c>
      <c r="O411" s="18" t="n">
        <v>0.026145</v>
      </c>
      <c r="P411" s="18" t="n">
        <v>0.026145</v>
      </c>
    </row>
    <row r="412" customFormat="false" ht="13.8" hidden="true" customHeight="false" outlineLevel="1" collapsed="false">
      <c r="B412" s="15" t="s">
        <v>25</v>
      </c>
      <c r="C412" s="26" t="n">
        <f aca="false">E411+1</f>
        <v>54118</v>
      </c>
      <c r="E412" s="26" t="n">
        <f aca="false">EOMONTH(C412,0)</f>
        <v>54148</v>
      </c>
      <c r="G412" s="15" t="s">
        <v>33</v>
      </c>
      <c r="H412" s="130"/>
      <c r="I412" s="89" t="n">
        <v>0.026145</v>
      </c>
      <c r="J412" s="89" t="n">
        <v>0.026145</v>
      </c>
      <c r="M412" s="15" t="s">
        <v>33</v>
      </c>
      <c r="N412" s="18" t="n">
        <v>0</v>
      </c>
      <c r="O412" s="18" t="n">
        <v>0.026145</v>
      </c>
      <c r="P412" s="18" t="n">
        <v>0.026145</v>
      </c>
    </row>
    <row r="413" customFormat="false" ht="13.8" hidden="true" customHeight="false" outlineLevel="1" collapsed="false">
      <c r="B413" s="15" t="s">
        <v>25</v>
      </c>
      <c r="C413" s="26" t="n">
        <f aca="false">E412+1</f>
        <v>54149</v>
      </c>
      <c r="E413" s="26" t="n">
        <f aca="false">EOMONTH(C413,0)</f>
        <v>54178</v>
      </c>
      <c r="G413" s="15" t="s">
        <v>33</v>
      </c>
      <c r="H413" s="130"/>
      <c r="I413" s="89" t="n">
        <v>0.026145</v>
      </c>
      <c r="J413" s="89" t="n">
        <v>0.026145</v>
      </c>
      <c r="M413" s="15" t="s">
        <v>33</v>
      </c>
      <c r="N413" s="18" t="n">
        <v>0</v>
      </c>
      <c r="O413" s="18" t="n">
        <v>0.026145</v>
      </c>
      <c r="P413" s="18" t="n">
        <v>0.026145</v>
      </c>
    </row>
    <row r="414" customFormat="false" ht="13.8" hidden="true" customHeight="false" outlineLevel="1" collapsed="false">
      <c r="B414" s="15" t="s">
        <v>25</v>
      </c>
      <c r="C414" s="26" t="n">
        <f aca="false">E413+1</f>
        <v>54179</v>
      </c>
      <c r="E414" s="26" t="n">
        <f aca="false">EOMONTH(C414,0)</f>
        <v>54209</v>
      </c>
      <c r="G414" s="15" t="s">
        <v>33</v>
      </c>
      <c r="H414" s="130"/>
      <c r="I414" s="89" t="n">
        <v>0.026145</v>
      </c>
      <c r="J414" s="89" t="n">
        <v>0.026145</v>
      </c>
      <c r="M414" s="15" t="s">
        <v>33</v>
      </c>
      <c r="N414" s="18" t="n">
        <v>0</v>
      </c>
      <c r="O414" s="18" t="n">
        <v>0.026145</v>
      </c>
      <c r="P414" s="18" t="n">
        <v>0.026145</v>
      </c>
    </row>
    <row r="415" customFormat="false" ht="13.8" hidden="true" customHeight="false" outlineLevel="1" collapsed="false">
      <c r="B415" s="15" t="s">
        <v>25</v>
      </c>
      <c r="C415" s="26" t="n">
        <f aca="false">E414+1</f>
        <v>54210</v>
      </c>
      <c r="E415" s="26" t="n">
        <f aca="false">EOMONTH(C415,0)</f>
        <v>54239</v>
      </c>
      <c r="G415" s="15" t="s">
        <v>33</v>
      </c>
      <c r="H415" s="130"/>
      <c r="I415" s="89" t="n">
        <v>0.026145</v>
      </c>
      <c r="J415" s="89" t="n">
        <v>0.026145</v>
      </c>
      <c r="M415" s="15" t="s">
        <v>33</v>
      </c>
      <c r="N415" s="18" t="n">
        <v>0</v>
      </c>
      <c r="O415" s="18" t="n">
        <v>0.026145</v>
      </c>
      <c r="P415" s="18" t="n">
        <v>0.026145</v>
      </c>
    </row>
    <row r="416" customFormat="false" ht="13.8" hidden="true" customHeight="false" outlineLevel="1" collapsed="false">
      <c r="B416" s="15" t="s">
        <v>25</v>
      </c>
      <c r="C416" s="26" t="n">
        <f aca="false">E415+1</f>
        <v>54240</v>
      </c>
      <c r="E416" s="26" t="n">
        <f aca="false">EOMONTH(C416,0)</f>
        <v>54270</v>
      </c>
      <c r="G416" s="15" t="s">
        <v>33</v>
      </c>
      <c r="H416" s="130"/>
      <c r="I416" s="89" t="n">
        <v>0.026145</v>
      </c>
      <c r="J416" s="89" t="n">
        <v>0.026145</v>
      </c>
      <c r="M416" s="15" t="s">
        <v>33</v>
      </c>
      <c r="N416" s="18" t="n">
        <v>0</v>
      </c>
      <c r="O416" s="18" t="n">
        <v>0.026145</v>
      </c>
      <c r="P416" s="18" t="n">
        <v>0.026145</v>
      </c>
    </row>
    <row r="417" customFormat="false" ht="13.8" hidden="true" customHeight="false" outlineLevel="1" collapsed="false">
      <c r="B417" s="15" t="s">
        <v>25</v>
      </c>
      <c r="C417" s="26" t="n">
        <f aca="false">E416+1</f>
        <v>54271</v>
      </c>
      <c r="E417" s="26" t="n">
        <f aca="false">EOMONTH(C417,0)</f>
        <v>54301</v>
      </c>
      <c r="G417" s="15" t="s">
        <v>33</v>
      </c>
      <c r="H417" s="130"/>
      <c r="I417" s="89" t="n">
        <v>0.026145</v>
      </c>
      <c r="J417" s="89" t="n">
        <v>0.026145</v>
      </c>
      <c r="M417" s="15" t="s">
        <v>33</v>
      </c>
      <c r="N417" s="18" t="n">
        <v>0</v>
      </c>
      <c r="O417" s="18" t="n">
        <v>0.026145</v>
      </c>
      <c r="P417" s="18" t="n">
        <v>0.026145</v>
      </c>
    </row>
    <row r="418" customFormat="false" ht="13.8" hidden="true" customHeight="false" outlineLevel="1" collapsed="false">
      <c r="B418" s="15" t="s">
        <v>25</v>
      </c>
      <c r="C418" s="26" t="n">
        <f aca="false">E417+1</f>
        <v>54302</v>
      </c>
      <c r="E418" s="26" t="n">
        <f aca="false">EOMONTH(C418,0)</f>
        <v>54331</v>
      </c>
      <c r="G418" s="15" t="s">
        <v>33</v>
      </c>
      <c r="H418" s="130"/>
      <c r="I418" s="89" t="n">
        <v>0.026145</v>
      </c>
      <c r="J418" s="89" t="n">
        <v>0.026145</v>
      </c>
      <c r="M418" s="15" t="s">
        <v>33</v>
      </c>
      <c r="N418" s="18" t="n">
        <v>0</v>
      </c>
      <c r="O418" s="18" t="n">
        <v>0.026145</v>
      </c>
      <c r="P418" s="18" t="n">
        <v>0.026145</v>
      </c>
    </row>
    <row r="419" customFormat="false" ht="13.8" hidden="true" customHeight="false" outlineLevel="1" collapsed="false">
      <c r="B419" s="15" t="s">
        <v>25</v>
      </c>
      <c r="C419" s="26" t="n">
        <f aca="false">E418+1</f>
        <v>54332</v>
      </c>
      <c r="E419" s="26" t="n">
        <f aca="false">EOMONTH(C419,0)</f>
        <v>54362</v>
      </c>
      <c r="G419" s="15" t="s">
        <v>33</v>
      </c>
      <c r="H419" s="130"/>
      <c r="I419" s="89" t="n">
        <v>0.026145</v>
      </c>
      <c r="J419" s="89" t="n">
        <v>0.026145</v>
      </c>
      <c r="M419" s="15" t="s">
        <v>33</v>
      </c>
      <c r="N419" s="18" t="n">
        <v>0</v>
      </c>
      <c r="O419" s="18" t="n">
        <v>0.026145</v>
      </c>
      <c r="P419" s="18" t="n">
        <v>0.026145</v>
      </c>
    </row>
    <row r="420" customFormat="false" ht="13.8" hidden="true" customHeight="false" outlineLevel="1" collapsed="false">
      <c r="B420" s="15" t="s">
        <v>25</v>
      </c>
      <c r="C420" s="26" t="n">
        <f aca="false">E419+1</f>
        <v>54363</v>
      </c>
      <c r="E420" s="26" t="n">
        <f aca="false">EOMONTH(C420,0)</f>
        <v>54392</v>
      </c>
      <c r="G420" s="15" t="s">
        <v>33</v>
      </c>
      <c r="H420" s="130"/>
      <c r="I420" s="89" t="n">
        <v>0.026145</v>
      </c>
      <c r="J420" s="89" t="n">
        <v>0.026145</v>
      </c>
      <c r="M420" s="15" t="s">
        <v>33</v>
      </c>
      <c r="N420" s="18" t="n">
        <v>0</v>
      </c>
      <c r="O420" s="18" t="n">
        <v>0.026145</v>
      </c>
      <c r="P420" s="18" t="n">
        <v>0.026145</v>
      </c>
    </row>
    <row r="421" customFormat="false" ht="13.8" hidden="true" customHeight="false" outlineLevel="1" collapsed="false">
      <c r="B421" s="15" t="s">
        <v>25</v>
      </c>
      <c r="C421" s="26" t="n">
        <f aca="false">E420+1</f>
        <v>54393</v>
      </c>
      <c r="E421" s="26" t="n">
        <f aca="false">EOMONTH(C421,0)</f>
        <v>54423</v>
      </c>
      <c r="G421" s="15" t="s">
        <v>33</v>
      </c>
      <c r="H421" s="130"/>
      <c r="I421" s="89" t="n">
        <v>0.026145</v>
      </c>
      <c r="J421" s="89" t="n">
        <v>0.026145</v>
      </c>
      <c r="M421" s="15" t="s">
        <v>33</v>
      </c>
      <c r="N421" s="18" t="n">
        <v>0</v>
      </c>
      <c r="O421" s="18" t="n">
        <v>0.026145</v>
      </c>
      <c r="P421" s="18" t="n">
        <v>0.026145</v>
      </c>
    </row>
    <row r="422" customFormat="false" ht="13.8" hidden="true" customHeight="false" outlineLevel="1" collapsed="false">
      <c r="B422" s="15" t="s">
        <v>25</v>
      </c>
      <c r="C422" s="26" t="n">
        <f aca="false">E421+1</f>
        <v>54424</v>
      </c>
      <c r="E422" s="26" t="n">
        <f aca="false">EOMONTH(C422,0)</f>
        <v>54454</v>
      </c>
      <c r="G422" s="15" t="s">
        <v>33</v>
      </c>
      <c r="H422" s="130"/>
      <c r="I422" s="89" t="n">
        <v>0.026145</v>
      </c>
      <c r="J422" s="89" t="n">
        <v>0.026145</v>
      </c>
      <c r="M422" s="15" t="s">
        <v>33</v>
      </c>
      <c r="N422" s="18" t="n">
        <v>0</v>
      </c>
      <c r="O422" s="18" t="n">
        <v>0.026145</v>
      </c>
      <c r="P422" s="18" t="n">
        <v>0.026145</v>
      </c>
    </row>
    <row r="423" customFormat="false" ht="13.8" hidden="true" customHeight="false" outlineLevel="1" collapsed="false">
      <c r="B423" s="15" t="s">
        <v>25</v>
      </c>
      <c r="C423" s="26" t="n">
        <f aca="false">E422+1</f>
        <v>54455</v>
      </c>
      <c r="E423" s="26" t="n">
        <f aca="false">EOMONTH(C423,0)</f>
        <v>54482</v>
      </c>
      <c r="G423" s="15" t="s">
        <v>33</v>
      </c>
      <c r="H423" s="130"/>
      <c r="I423" s="89" t="n">
        <v>0.026145</v>
      </c>
      <c r="J423" s="89" t="n">
        <v>0.026145</v>
      </c>
      <c r="M423" s="15" t="s">
        <v>33</v>
      </c>
      <c r="N423" s="18" t="n">
        <v>0</v>
      </c>
      <c r="O423" s="18" t="n">
        <v>0.026145</v>
      </c>
      <c r="P423" s="18" t="n">
        <v>0.026145</v>
      </c>
    </row>
    <row r="424" customFormat="false" ht="13.8" hidden="true" customHeight="false" outlineLevel="1" collapsed="false">
      <c r="B424" s="15" t="s">
        <v>25</v>
      </c>
      <c r="C424" s="26" t="n">
        <f aca="false">E423+1</f>
        <v>54483</v>
      </c>
      <c r="E424" s="26" t="n">
        <f aca="false">EOMONTH(C424,0)</f>
        <v>54513</v>
      </c>
      <c r="G424" s="15" t="s">
        <v>33</v>
      </c>
      <c r="H424" s="130"/>
      <c r="I424" s="89" t="n">
        <v>0.026145</v>
      </c>
      <c r="J424" s="89" t="n">
        <v>0.026145</v>
      </c>
      <c r="M424" s="15" t="s">
        <v>33</v>
      </c>
      <c r="N424" s="18" t="n">
        <v>0</v>
      </c>
      <c r="O424" s="18" t="n">
        <v>0.026145</v>
      </c>
      <c r="P424" s="18" t="n">
        <v>0.026145</v>
      </c>
    </row>
    <row r="425" customFormat="false" ht="13.8" hidden="true" customHeight="false" outlineLevel="1" collapsed="false">
      <c r="B425" s="15" t="s">
        <v>25</v>
      </c>
      <c r="C425" s="26" t="n">
        <f aca="false">E424+1</f>
        <v>54514</v>
      </c>
      <c r="E425" s="26" t="n">
        <f aca="false">EOMONTH(C425,0)</f>
        <v>54543</v>
      </c>
      <c r="G425" s="15" t="s">
        <v>33</v>
      </c>
      <c r="H425" s="130"/>
      <c r="I425" s="89" t="n">
        <v>0.026145</v>
      </c>
      <c r="J425" s="89" t="n">
        <v>0.026145</v>
      </c>
      <c r="M425" s="15" t="s">
        <v>33</v>
      </c>
      <c r="N425" s="18" t="n">
        <v>0</v>
      </c>
      <c r="O425" s="18" t="n">
        <v>0.026145</v>
      </c>
      <c r="P425" s="18" t="n">
        <v>0.026145</v>
      </c>
    </row>
    <row r="426" customFormat="false" ht="13.8" hidden="true" customHeight="false" outlineLevel="1" collapsed="false">
      <c r="B426" s="15" t="s">
        <v>25</v>
      </c>
      <c r="C426" s="26" t="n">
        <f aca="false">E425+1</f>
        <v>54544</v>
      </c>
      <c r="E426" s="26" t="n">
        <f aca="false">EOMONTH(C426,0)</f>
        <v>54574</v>
      </c>
      <c r="G426" s="15" t="s">
        <v>33</v>
      </c>
      <c r="H426" s="130"/>
      <c r="I426" s="89" t="n">
        <v>0.026145</v>
      </c>
      <c r="J426" s="89" t="n">
        <v>0.026145</v>
      </c>
      <c r="M426" s="15" t="s">
        <v>33</v>
      </c>
      <c r="N426" s="18" t="n">
        <v>0</v>
      </c>
      <c r="O426" s="18" t="n">
        <v>0.026145</v>
      </c>
      <c r="P426" s="18" t="n">
        <v>0.026145</v>
      </c>
    </row>
    <row r="427" customFormat="false" ht="13.8" hidden="true" customHeight="false" outlineLevel="1" collapsed="false">
      <c r="B427" s="15" t="s">
        <v>25</v>
      </c>
      <c r="C427" s="26" t="n">
        <f aca="false">E426+1</f>
        <v>54575</v>
      </c>
      <c r="E427" s="26" t="n">
        <f aca="false">EOMONTH(C427,0)</f>
        <v>54604</v>
      </c>
      <c r="G427" s="15" t="s">
        <v>33</v>
      </c>
      <c r="H427" s="130"/>
      <c r="I427" s="89" t="n">
        <v>0.026145</v>
      </c>
      <c r="J427" s="89" t="n">
        <v>0.026145</v>
      </c>
      <c r="M427" s="15" t="s">
        <v>33</v>
      </c>
      <c r="N427" s="18" t="n">
        <v>0</v>
      </c>
      <c r="O427" s="18" t="n">
        <v>0.026145</v>
      </c>
      <c r="P427" s="18" t="n">
        <v>0.026145</v>
      </c>
    </row>
    <row r="428" customFormat="false" ht="13.8" hidden="true" customHeight="false" outlineLevel="1" collapsed="false">
      <c r="B428" s="15" t="s">
        <v>25</v>
      </c>
      <c r="C428" s="26" t="n">
        <f aca="false">E427+1</f>
        <v>54605</v>
      </c>
      <c r="E428" s="26" t="n">
        <f aca="false">EOMONTH(C428,0)</f>
        <v>54635</v>
      </c>
      <c r="G428" s="15" t="s">
        <v>33</v>
      </c>
      <c r="H428" s="130"/>
      <c r="I428" s="89" t="n">
        <v>0.026145</v>
      </c>
      <c r="J428" s="89" t="n">
        <v>0.026145</v>
      </c>
      <c r="M428" s="15" t="s">
        <v>33</v>
      </c>
      <c r="N428" s="18" t="n">
        <v>0</v>
      </c>
      <c r="O428" s="18" t="n">
        <v>0.026145</v>
      </c>
      <c r="P428" s="18" t="n">
        <v>0.026145</v>
      </c>
    </row>
    <row r="429" customFormat="false" ht="13.8" hidden="true" customHeight="false" outlineLevel="1" collapsed="false">
      <c r="B429" s="15" t="s">
        <v>25</v>
      </c>
      <c r="C429" s="26" t="n">
        <f aca="false">E428+1</f>
        <v>54636</v>
      </c>
      <c r="E429" s="26" t="n">
        <f aca="false">EOMONTH(C429,0)</f>
        <v>54666</v>
      </c>
      <c r="G429" s="15" t="s">
        <v>33</v>
      </c>
      <c r="H429" s="130"/>
      <c r="I429" s="89" t="n">
        <v>0.026145</v>
      </c>
      <c r="J429" s="89" t="n">
        <v>0.026145</v>
      </c>
      <c r="M429" s="15" t="s">
        <v>33</v>
      </c>
      <c r="N429" s="18" t="n">
        <v>0</v>
      </c>
      <c r="O429" s="18" t="n">
        <v>0.026145</v>
      </c>
      <c r="P429" s="18" t="n">
        <v>0.026145</v>
      </c>
    </row>
    <row r="430" customFormat="false" ht="13.8" hidden="true" customHeight="false" outlineLevel="1" collapsed="false">
      <c r="B430" s="15" t="s">
        <v>25</v>
      </c>
      <c r="C430" s="26" t="n">
        <f aca="false">E429+1</f>
        <v>54667</v>
      </c>
      <c r="E430" s="26" t="n">
        <f aca="false">EOMONTH(C430,0)</f>
        <v>54696</v>
      </c>
      <c r="G430" s="15" t="s">
        <v>33</v>
      </c>
      <c r="H430" s="130"/>
      <c r="I430" s="89" t="n">
        <v>0.026145</v>
      </c>
      <c r="J430" s="89" t="n">
        <v>0.026145</v>
      </c>
      <c r="M430" s="15" t="s">
        <v>33</v>
      </c>
      <c r="N430" s="18" t="n">
        <v>0</v>
      </c>
      <c r="O430" s="18" t="n">
        <v>0.026145</v>
      </c>
      <c r="P430" s="18" t="n">
        <v>0.026145</v>
      </c>
    </row>
    <row r="431" customFormat="false" ht="13.8" hidden="true" customHeight="false" outlineLevel="1" collapsed="false">
      <c r="B431" s="15" t="s">
        <v>25</v>
      </c>
      <c r="C431" s="26" t="n">
        <f aca="false">E430+1</f>
        <v>54697</v>
      </c>
      <c r="E431" s="26" t="n">
        <f aca="false">EOMONTH(C431,0)</f>
        <v>54727</v>
      </c>
      <c r="G431" s="15" t="s">
        <v>33</v>
      </c>
      <c r="H431" s="130"/>
      <c r="I431" s="89" t="n">
        <v>0.026145</v>
      </c>
      <c r="J431" s="89" t="n">
        <v>0.026145</v>
      </c>
      <c r="M431" s="15" t="s">
        <v>33</v>
      </c>
      <c r="N431" s="18" t="n">
        <v>0</v>
      </c>
      <c r="O431" s="18" t="n">
        <v>0.026145</v>
      </c>
      <c r="P431" s="18" t="n">
        <v>0.026145</v>
      </c>
    </row>
    <row r="432" customFormat="false" ht="13.8" hidden="true" customHeight="false" outlineLevel="1" collapsed="false">
      <c r="B432" s="15" t="s">
        <v>25</v>
      </c>
      <c r="C432" s="26" t="n">
        <f aca="false">E431+1</f>
        <v>54728</v>
      </c>
      <c r="E432" s="26" t="n">
        <f aca="false">EOMONTH(C432,0)</f>
        <v>54757</v>
      </c>
      <c r="G432" s="15" t="s">
        <v>33</v>
      </c>
      <c r="H432" s="130"/>
      <c r="I432" s="89" t="n">
        <v>0.026145</v>
      </c>
      <c r="J432" s="89" t="n">
        <v>0.026145</v>
      </c>
      <c r="M432" s="15" t="s">
        <v>33</v>
      </c>
      <c r="N432" s="18" t="n">
        <v>0</v>
      </c>
      <c r="O432" s="18" t="n">
        <v>0.026145</v>
      </c>
      <c r="P432" s="18" t="n">
        <v>0.026145</v>
      </c>
    </row>
    <row r="433" customFormat="false" ht="13.8" hidden="true" customHeight="false" outlineLevel="1" collapsed="false">
      <c r="B433" s="15" t="s">
        <v>25</v>
      </c>
      <c r="C433" s="26" t="n">
        <f aca="false">E432+1</f>
        <v>54758</v>
      </c>
      <c r="E433" s="26" t="n">
        <f aca="false">EOMONTH(C433,0)</f>
        <v>54788</v>
      </c>
      <c r="G433" s="15" t="s">
        <v>33</v>
      </c>
      <c r="H433" s="130"/>
      <c r="I433" s="89" t="n">
        <v>0.026145</v>
      </c>
      <c r="J433" s="89" t="n">
        <v>0.026145</v>
      </c>
      <c r="M433" s="15" t="s">
        <v>33</v>
      </c>
      <c r="N433" s="18" t="n">
        <v>0</v>
      </c>
      <c r="O433" s="18" t="n">
        <v>0.026145</v>
      </c>
      <c r="P433" s="18" t="n">
        <v>0.026145</v>
      </c>
    </row>
    <row r="434" customFormat="false" ht="13.8" hidden="true" customHeight="false" outlineLevel="1" collapsed="false">
      <c r="B434" s="15" t="s">
        <v>25</v>
      </c>
      <c r="C434" s="26" t="n">
        <f aca="false">E433+1</f>
        <v>54789</v>
      </c>
      <c r="E434" s="26" t="n">
        <f aca="false">EOMONTH(C434,0)</f>
        <v>54819</v>
      </c>
      <c r="G434" s="15" t="s">
        <v>33</v>
      </c>
      <c r="H434" s="130"/>
      <c r="I434" s="89" t="n">
        <v>0.026145</v>
      </c>
      <c r="J434" s="89" t="n">
        <v>0.026145</v>
      </c>
      <c r="M434" s="15" t="s">
        <v>33</v>
      </c>
      <c r="N434" s="18" t="n">
        <v>0</v>
      </c>
      <c r="O434" s="18" t="n">
        <v>0.026145</v>
      </c>
      <c r="P434" s="18" t="n">
        <v>0.026145</v>
      </c>
    </row>
    <row r="435" customFormat="false" ht="13.8" hidden="true" customHeight="false" outlineLevel="1" collapsed="false">
      <c r="B435" s="15" t="s">
        <v>25</v>
      </c>
      <c r="C435" s="26" t="n">
        <f aca="false">E434+1</f>
        <v>54820</v>
      </c>
      <c r="E435" s="26" t="n">
        <f aca="false">EOMONTH(C435,0)</f>
        <v>54847</v>
      </c>
      <c r="G435" s="15" t="s">
        <v>33</v>
      </c>
      <c r="H435" s="130"/>
      <c r="I435" s="89" t="n">
        <v>0.026145</v>
      </c>
      <c r="J435" s="89" t="n">
        <v>0.026145</v>
      </c>
      <c r="M435" s="15" t="s">
        <v>33</v>
      </c>
      <c r="N435" s="18" t="n">
        <v>0</v>
      </c>
      <c r="O435" s="18" t="n">
        <v>0.026145</v>
      </c>
      <c r="P435" s="18" t="n">
        <v>0.026145</v>
      </c>
    </row>
    <row r="436" customFormat="false" ht="13.8" hidden="true" customHeight="false" outlineLevel="1" collapsed="false">
      <c r="B436" s="15" t="s">
        <v>25</v>
      </c>
      <c r="C436" s="26" t="n">
        <f aca="false">E435+1</f>
        <v>54848</v>
      </c>
      <c r="E436" s="26" t="n">
        <f aca="false">EOMONTH(C436,0)</f>
        <v>54878</v>
      </c>
      <c r="G436" s="15" t="s">
        <v>33</v>
      </c>
      <c r="H436" s="130"/>
      <c r="I436" s="89" t="n">
        <v>0.026145</v>
      </c>
      <c r="J436" s="89" t="n">
        <v>0.026145</v>
      </c>
      <c r="M436" s="15" t="s">
        <v>33</v>
      </c>
      <c r="N436" s="18" t="n">
        <v>0</v>
      </c>
      <c r="O436" s="18" t="n">
        <v>0.026145</v>
      </c>
      <c r="P436" s="18" t="n">
        <v>0.026145</v>
      </c>
    </row>
    <row r="437" customFormat="false" ht="13.8" hidden="true" customHeight="false" outlineLevel="1" collapsed="false">
      <c r="B437" s="15" t="s">
        <v>25</v>
      </c>
      <c r="C437" s="26" t="n">
        <f aca="false">E436+1</f>
        <v>54879</v>
      </c>
      <c r="E437" s="26" t="n">
        <f aca="false">EOMONTH(C437,0)</f>
        <v>54908</v>
      </c>
      <c r="G437" s="15" t="s">
        <v>33</v>
      </c>
      <c r="H437" s="130"/>
      <c r="I437" s="89" t="n">
        <v>0.026145</v>
      </c>
      <c r="J437" s="89" t="n">
        <v>0.026145</v>
      </c>
      <c r="M437" s="15" t="s">
        <v>33</v>
      </c>
      <c r="N437" s="18" t="n">
        <v>0</v>
      </c>
      <c r="O437" s="18" t="n">
        <v>0.026145</v>
      </c>
      <c r="P437" s="18" t="n">
        <v>0.026145</v>
      </c>
    </row>
    <row r="438" customFormat="false" ht="13.8" hidden="true" customHeight="false" outlineLevel="1" collapsed="false">
      <c r="B438" s="15" t="s">
        <v>25</v>
      </c>
      <c r="C438" s="26" t="n">
        <f aca="false">E437+1</f>
        <v>54909</v>
      </c>
      <c r="E438" s="26" t="n">
        <f aca="false">EOMONTH(C438,0)</f>
        <v>54939</v>
      </c>
      <c r="G438" s="15" t="s">
        <v>33</v>
      </c>
      <c r="H438" s="130"/>
      <c r="I438" s="89" t="n">
        <v>0.026145</v>
      </c>
      <c r="J438" s="89" t="n">
        <v>0.026145</v>
      </c>
      <c r="M438" s="15" t="s">
        <v>33</v>
      </c>
      <c r="N438" s="18" t="n">
        <v>0</v>
      </c>
      <c r="O438" s="18" t="n">
        <v>0.026145</v>
      </c>
      <c r="P438" s="18" t="n">
        <v>0.026145</v>
      </c>
    </row>
    <row r="439" customFormat="false" ht="13.8" hidden="true" customHeight="false" outlineLevel="1" collapsed="false">
      <c r="B439" s="15" t="s">
        <v>25</v>
      </c>
      <c r="C439" s="26" t="n">
        <f aca="false">E438+1</f>
        <v>54940</v>
      </c>
      <c r="E439" s="26" t="n">
        <f aca="false">EOMONTH(C439,0)</f>
        <v>54969</v>
      </c>
      <c r="G439" s="15" t="s">
        <v>33</v>
      </c>
      <c r="H439" s="130"/>
      <c r="I439" s="89" t="n">
        <v>0.026145</v>
      </c>
      <c r="J439" s="89" t="n">
        <v>0.026145</v>
      </c>
      <c r="M439" s="15" t="s">
        <v>33</v>
      </c>
      <c r="N439" s="18" t="n">
        <v>0</v>
      </c>
      <c r="O439" s="18" t="n">
        <v>0.026145</v>
      </c>
      <c r="P439" s="18" t="n">
        <v>0.026145</v>
      </c>
    </row>
    <row r="440" customFormat="false" ht="13.8" hidden="true" customHeight="false" outlineLevel="1" collapsed="false">
      <c r="B440" s="15" t="s">
        <v>25</v>
      </c>
      <c r="C440" s="26" t="n">
        <f aca="false">E439+1</f>
        <v>54970</v>
      </c>
      <c r="E440" s="26" t="n">
        <f aca="false">EOMONTH(C440,0)</f>
        <v>55000</v>
      </c>
      <c r="G440" s="15" t="s">
        <v>33</v>
      </c>
      <c r="H440" s="130"/>
      <c r="I440" s="89" t="n">
        <v>0.026145</v>
      </c>
      <c r="J440" s="89" t="n">
        <v>0.026145</v>
      </c>
      <c r="M440" s="15" t="s">
        <v>33</v>
      </c>
      <c r="N440" s="18" t="n">
        <v>0</v>
      </c>
      <c r="O440" s="18" t="n">
        <v>0.026145</v>
      </c>
      <c r="P440" s="18" t="n">
        <v>0.026145</v>
      </c>
    </row>
    <row r="441" customFormat="false" ht="13.8" hidden="true" customHeight="false" outlineLevel="1" collapsed="false">
      <c r="B441" s="15" t="s">
        <v>25</v>
      </c>
      <c r="C441" s="26" t="n">
        <f aca="false">E440+1</f>
        <v>55001</v>
      </c>
      <c r="E441" s="26" t="n">
        <f aca="false">EOMONTH(C441,0)</f>
        <v>55031</v>
      </c>
      <c r="G441" s="15" t="s">
        <v>33</v>
      </c>
      <c r="H441" s="130"/>
      <c r="I441" s="89" t="n">
        <v>0.026145</v>
      </c>
      <c r="J441" s="89" t="n">
        <v>0.026145</v>
      </c>
      <c r="M441" s="15" t="s">
        <v>33</v>
      </c>
      <c r="N441" s="18" t="n">
        <v>0</v>
      </c>
      <c r="O441" s="18" t="n">
        <v>0.026145</v>
      </c>
      <c r="P441" s="18" t="n">
        <v>0.026145</v>
      </c>
    </row>
    <row r="442" customFormat="false" ht="13.8" hidden="true" customHeight="false" outlineLevel="1" collapsed="false">
      <c r="B442" s="15" t="s">
        <v>25</v>
      </c>
      <c r="C442" s="26" t="n">
        <f aca="false">E441+1</f>
        <v>55032</v>
      </c>
      <c r="E442" s="26" t="n">
        <f aca="false">EOMONTH(C442,0)</f>
        <v>55061</v>
      </c>
      <c r="G442" s="15" t="s">
        <v>33</v>
      </c>
      <c r="H442" s="130"/>
      <c r="I442" s="89" t="n">
        <v>0.026145</v>
      </c>
      <c r="J442" s="89" t="n">
        <v>0.026145</v>
      </c>
      <c r="M442" s="15" t="s">
        <v>33</v>
      </c>
      <c r="N442" s="18" t="n">
        <v>0</v>
      </c>
      <c r="O442" s="18" t="n">
        <v>0.026145</v>
      </c>
      <c r="P442" s="18" t="n">
        <v>0.026145</v>
      </c>
    </row>
    <row r="443" customFormat="false" ht="13.8" hidden="true" customHeight="false" outlineLevel="1" collapsed="false">
      <c r="B443" s="15" t="s">
        <v>25</v>
      </c>
      <c r="C443" s="26" t="n">
        <f aca="false">E442+1</f>
        <v>55062</v>
      </c>
      <c r="E443" s="26" t="n">
        <f aca="false">EOMONTH(C443,0)</f>
        <v>55092</v>
      </c>
      <c r="G443" s="15" t="s">
        <v>33</v>
      </c>
      <c r="H443" s="130"/>
      <c r="I443" s="89" t="n">
        <v>0.026145</v>
      </c>
      <c r="J443" s="89" t="n">
        <v>0.026145</v>
      </c>
      <c r="M443" s="15" t="s">
        <v>33</v>
      </c>
      <c r="N443" s="18" t="n">
        <v>0</v>
      </c>
      <c r="O443" s="18" t="n">
        <v>0.026145</v>
      </c>
      <c r="P443" s="18" t="n">
        <v>0.026145</v>
      </c>
    </row>
    <row r="444" customFormat="false" ht="13.8" hidden="true" customHeight="false" outlineLevel="1" collapsed="false">
      <c r="B444" s="15" t="s">
        <v>25</v>
      </c>
      <c r="C444" s="26" t="n">
        <f aca="false">E443+1</f>
        <v>55093</v>
      </c>
      <c r="E444" s="26" t="n">
        <f aca="false">EOMONTH(C444,0)</f>
        <v>55122</v>
      </c>
      <c r="G444" s="15" t="s">
        <v>33</v>
      </c>
      <c r="H444" s="130"/>
      <c r="I444" s="89" t="n">
        <v>0.026145</v>
      </c>
      <c r="J444" s="89" t="n">
        <v>0.026145</v>
      </c>
      <c r="M444" s="15" t="s">
        <v>33</v>
      </c>
      <c r="N444" s="18" t="n">
        <v>0</v>
      </c>
      <c r="O444" s="18" t="n">
        <v>0.026145</v>
      </c>
      <c r="P444" s="18" t="n">
        <v>0.026145</v>
      </c>
    </row>
    <row r="445" customFormat="false" ht="13.8" hidden="true" customHeight="false" outlineLevel="1" collapsed="false">
      <c r="B445" s="15" t="s">
        <v>25</v>
      </c>
      <c r="C445" s="26" t="n">
        <f aca="false">E444+1</f>
        <v>55123</v>
      </c>
      <c r="E445" s="26" t="n">
        <f aca="false">EOMONTH(C445,0)</f>
        <v>55153</v>
      </c>
      <c r="G445" s="15" t="s">
        <v>33</v>
      </c>
      <c r="H445" s="130"/>
      <c r="I445" s="89" t="n">
        <v>0.026145</v>
      </c>
      <c r="J445" s="89" t="n">
        <v>0.026145</v>
      </c>
      <c r="M445" s="15" t="s">
        <v>33</v>
      </c>
      <c r="N445" s="18" t="n">
        <v>0</v>
      </c>
      <c r="O445" s="18" t="n">
        <v>0.026145</v>
      </c>
      <c r="P445" s="18" t="n">
        <v>0.026145</v>
      </c>
    </row>
    <row r="446" customFormat="false" ht="13.8" hidden="true" customHeight="false" outlineLevel="1" collapsed="false">
      <c r="B446" s="15" t="s">
        <v>25</v>
      </c>
      <c r="C446" s="26" t="n">
        <f aca="false">E445+1</f>
        <v>55154</v>
      </c>
      <c r="E446" s="26" t="n">
        <f aca="false">EOMONTH(C446,0)</f>
        <v>55184</v>
      </c>
      <c r="G446" s="15" t="s">
        <v>33</v>
      </c>
      <c r="H446" s="130"/>
      <c r="I446" s="89" t="n">
        <v>0.026145</v>
      </c>
      <c r="J446" s="89" t="n">
        <v>0.026145</v>
      </c>
      <c r="M446" s="15" t="s">
        <v>33</v>
      </c>
      <c r="N446" s="18" t="n">
        <v>0</v>
      </c>
      <c r="O446" s="18" t="n">
        <v>0.026145</v>
      </c>
      <c r="P446" s="18" t="n">
        <v>0.026145</v>
      </c>
    </row>
    <row r="447" customFormat="false" ht="13.8" hidden="true" customHeight="false" outlineLevel="1" collapsed="false">
      <c r="B447" s="15" t="s">
        <v>25</v>
      </c>
      <c r="C447" s="26" t="n">
        <f aca="false">E446+1</f>
        <v>55185</v>
      </c>
      <c r="E447" s="26" t="n">
        <f aca="false">EOMONTH(C447,0)</f>
        <v>55212</v>
      </c>
      <c r="G447" s="15" t="s">
        <v>33</v>
      </c>
      <c r="H447" s="130"/>
      <c r="I447" s="89" t="n">
        <v>0.026145</v>
      </c>
      <c r="J447" s="89" t="n">
        <v>0.026145</v>
      </c>
      <c r="M447" s="15" t="s">
        <v>33</v>
      </c>
      <c r="N447" s="18" t="n">
        <v>0</v>
      </c>
      <c r="O447" s="18" t="n">
        <v>0.026145</v>
      </c>
      <c r="P447" s="18" t="n">
        <v>0.026145</v>
      </c>
    </row>
    <row r="448" customFormat="false" ht="13.8" hidden="true" customHeight="false" outlineLevel="1" collapsed="false">
      <c r="B448" s="15" t="s">
        <v>25</v>
      </c>
      <c r="C448" s="26" t="n">
        <f aca="false">E447+1</f>
        <v>55213</v>
      </c>
      <c r="E448" s="26" t="n">
        <f aca="false">EOMONTH(C448,0)</f>
        <v>55243</v>
      </c>
      <c r="G448" s="15" t="s">
        <v>33</v>
      </c>
      <c r="H448" s="130"/>
      <c r="I448" s="89" t="n">
        <v>0.026145</v>
      </c>
      <c r="J448" s="89" t="n">
        <v>0.026145</v>
      </c>
      <c r="M448" s="15" t="s">
        <v>33</v>
      </c>
      <c r="N448" s="18" t="n">
        <v>0</v>
      </c>
      <c r="O448" s="18" t="n">
        <v>0.026145</v>
      </c>
      <c r="P448" s="18" t="n">
        <v>0.026145</v>
      </c>
    </row>
    <row r="449" customFormat="false" ht="13.8" hidden="true" customHeight="false" outlineLevel="1" collapsed="false">
      <c r="B449" s="15" t="s">
        <v>25</v>
      </c>
      <c r="C449" s="26" t="n">
        <f aca="false">E448+1</f>
        <v>55244</v>
      </c>
      <c r="E449" s="26" t="n">
        <f aca="false">EOMONTH(C449,0)</f>
        <v>55273</v>
      </c>
      <c r="G449" s="15" t="s">
        <v>33</v>
      </c>
      <c r="H449" s="130"/>
      <c r="I449" s="89" t="n">
        <v>0.026145</v>
      </c>
      <c r="J449" s="89" t="n">
        <v>0.026145</v>
      </c>
      <c r="M449" s="15" t="s">
        <v>33</v>
      </c>
      <c r="N449" s="18" t="n">
        <v>0</v>
      </c>
      <c r="O449" s="18" t="n">
        <v>0.026145</v>
      </c>
      <c r="P449" s="18" t="n">
        <v>0.026145</v>
      </c>
    </row>
    <row r="450" customFormat="false" ht="13.8" hidden="true" customHeight="false" outlineLevel="1" collapsed="false">
      <c r="B450" s="15" t="s">
        <v>25</v>
      </c>
      <c r="C450" s="26" t="n">
        <f aca="false">E449+1</f>
        <v>55274</v>
      </c>
      <c r="E450" s="26" t="n">
        <f aca="false">EOMONTH(C450,0)</f>
        <v>55304</v>
      </c>
      <c r="G450" s="15" t="s">
        <v>33</v>
      </c>
      <c r="H450" s="130"/>
      <c r="I450" s="89" t="n">
        <v>0.026145</v>
      </c>
      <c r="J450" s="89" t="n">
        <v>0.026145</v>
      </c>
      <c r="M450" s="15" t="s">
        <v>33</v>
      </c>
      <c r="N450" s="18" t="n">
        <v>0</v>
      </c>
      <c r="O450" s="18" t="n">
        <v>0.026145</v>
      </c>
      <c r="P450" s="18" t="n">
        <v>0.026145</v>
      </c>
    </row>
    <row r="451" customFormat="false" ht="13.8" hidden="true" customHeight="false" outlineLevel="1" collapsed="false">
      <c r="B451" s="15" t="s">
        <v>25</v>
      </c>
      <c r="C451" s="26" t="n">
        <f aca="false">E450+1</f>
        <v>55305</v>
      </c>
      <c r="E451" s="26" t="n">
        <f aca="false">EOMONTH(C451,0)</f>
        <v>55334</v>
      </c>
      <c r="G451" s="15" t="s">
        <v>33</v>
      </c>
      <c r="H451" s="130"/>
      <c r="I451" s="89" t="n">
        <v>0.026145</v>
      </c>
      <c r="J451" s="89" t="n">
        <v>0.026145</v>
      </c>
      <c r="M451" s="15" t="s">
        <v>33</v>
      </c>
      <c r="N451" s="18" t="n">
        <v>0</v>
      </c>
      <c r="O451" s="18" t="n">
        <v>0.026145</v>
      </c>
      <c r="P451" s="18" t="n">
        <v>0.026145</v>
      </c>
    </row>
    <row r="452" customFormat="false" ht="13.8" hidden="true" customHeight="false" outlineLevel="1" collapsed="false">
      <c r="B452" s="15" t="s">
        <v>25</v>
      </c>
      <c r="C452" s="26" t="n">
        <f aca="false">E451+1</f>
        <v>55335</v>
      </c>
      <c r="E452" s="26" t="n">
        <f aca="false">EOMONTH(C452,0)</f>
        <v>55365</v>
      </c>
      <c r="G452" s="15" t="s">
        <v>33</v>
      </c>
      <c r="H452" s="130"/>
      <c r="I452" s="89" t="n">
        <v>0.026145</v>
      </c>
      <c r="J452" s="89" t="n">
        <v>0.026145</v>
      </c>
      <c r="M452" s="15" t="s">
        <v>33</v>
      </c>
      <c r="N452" s="18" t="n">
        <v>0</v>
      </c>
      <c r="O452" s="18" t="n">
        <v>0.026145</v>
      </c>
      <c r="P452" s="18" t="n">
        <v>0.026145</v>
      </c>
    </row>
    <row r="453" customFormat="false" ht="13.8" hidden="true" customHeight="false" outlineLevel="1" collapsed="false">
      <c r="B453" s="15" t="s">
        <v>25</v>
      </c>
      <c r="C453" s="26" t="n">
        <f aca="false">E452+1</f>
        <v>55366</v>
      </c>
      <c r="E453" s="26" t="n">
        <f aca="false">EOMONTH(C453,0)</f>
        <v>55396</v>
      </c>
      <c r="G453" s="15" t="s">
        <v>33</v>
      </c>
      <c r="H453" s="130"/>
      <c r="I453" s="89" t="n">
        <v>0.026145</v>
      </c>
      <c r="J453" s="89" t="n">
        <v>0.026145</v>
      </c>
      <c r="M453" s="15" t="s">
        <v>33</v>
      </c>
      <c r="N453" s="18" t="n">
        <v>0</v>
      </c>
      <c r="O453" s="18" t="n">
        <v>0.026145</v>
      </c>
      <c r="P453" s="18" t="n">
        <v>0.026145</v>
      </c>
    </row>
    <row r="454" customFormat="false" ht="13.8" hidden="true" customHeight="false" outlineLevel="1" collapsed="false">
      <c r="B454" s="15" t="s">
        <v>25</v>
      </c>
      <c r="C454" s="26" t="n">
        <f aca="false">E453+1</f>
        <v>55397</v>
      </c>
      <c r="E454" s="26" t="n">
        <f aca="false">EOMONTH(C454,0)</f>
        <v>55426</v>
      </c>
      <c r="G454" s="15" t="s">
        <v>33</v>
      </c>
      <c r="H454" s="130"/>
      <c r="I454" s="89" t="n">
        <v>0.026145</v>
      </c>
      <c r="J454" s="89" t="n">
        <v>0.026145</v>
      </c>
      <c r="M454" s="15" t="s">
        <v>33</v>
      </c>
      <c r="N454" s="18" t="n">
        <v>0</v>
      </c>
      <c r="O454" s="18" t="n">
        <v>0.026145</v>
      </c>
      <c r="P454" s="18" t="n">
        <v>0.026145</v>
      </c>
    </row>
    <row r="455" customFormat="false" ht="13.8" hidden="true" customHeight="false" outlineLevel="1" collapsed="false">
      <c r="B455" s="15" t="s">
        <v>25</v>
      </c>
      <c r="C455" s="26" t="n">
        <f aca="false">E454+1</f>
        <v>55427</v>
      </c>
      <c r="E455" s="26" t="n">
        <f aca="false">EOMONTH(C455,0)</f>
        <v>55457</v>
      </c>
      <c r="G455" s="15" t="s">
        <v>33</v>
      </c>
      <c r="H455" s="130"/>
      <c r="I455" s="89" t="n">
        <v>0.026145</v>
      </c>
      <c r="J455" s="89" t="n">
        <v>0.026145</v>
      </c>
      <c r="M455" s="15" t="s">
        <v>33</v>
      </c>
      <c r="N455" s="18" t="n">
        <v>0</v>
      </c>
      <c r="O455" s="18" t="n">
        <v>0.026145</v>
      </c>
      <c r="P455" s="18" t="n">
        <v>0.026145</v>
      </c>
    </row>
    <row r="456" customFormat="false" ht="13.8" hidden="true" customHeight="false" outlineLevel="1" collapsed="false">
      <c r="B456" s="15" t="s">
        <v>25</v>
      </c>
      <c r="C456" s="26" t="n">
        <f aca="false">E455+1</f>
        <v>55458</v>
      </c>
      <c r="E456" s="26" t="n">
        <f aca="false">EOMONTH(C456,0)</f>
        <v>55487</v>
      </c>
      <c r="G456" s="15" t="s">
        <v>33</v>
      </c>
      <c r="H456" s="130"/>
      <c r="I456" s="89" t="n">
        <v>0.026145</v>
      </c>
      <c r="J456" s="89" t="n">
        <v>0.026145</v>
      </c>
      <c r="M456" s="15" t="s">
        <v>33</v>
      </c>
      <c r="N456" s="18" t="n">
        <v>0</v>
      </c>
      <c r="O456" s="18" t="n">
        <v>0.026145</v>
      </c>
      <c r="P456" s="18" t="n">
        <v>0.026145</v>
      </c>
    </row>
    <row r="457" customFormat="false" ht="13.8" hidden="true" customHeight="false" outlineLevel="1" collapsed="false">
      <c r="B457" s="15" t="s">
        <v>25</v>
      </c>
      <c r="C457" s="26" t="n">
        <f aca="false">E456+1</f>
        <v>55488</v>
      </c>
      <c r="E457" s="26" t="n">
        <f aca="false">EOMONTH(C457,0)</f>
        <v>55518</v>
      </c>
      <c r="G457" s="15" t="s">
        <v>33</v>
      </c>
      <c r="H457" s="130"/>
      <c r="I457" s="89" t="n">
        <v>0.026145</v>
      </c>
      <c r="J457" s="89" t="n">
        <v>0.026145</v>
      </c>
      <c r="M457" s="15" t="s">
        <v>33</v>
      </c>
      <c r="N457" s="18" t="n">
        <v>0</v>
      </c>
      <c r="O457" s="18" t="n">
        <v>0.026145</v>
      </c>
      <c r="P457" s="18" t="n">
        <v>0.026145</v>
      </c>
    </row>
    <row r="458" customFormat="false" ht="13.8" hidden="true" customHeight="false" outlineLevel="1" collapsed="false">
      <c r="B458" s="15" t="s">
        <v>25</v>
      </c>
      <c r="C458" s="26" t="n">
        <f aca="false">E457+1</f>
        <v>55519</v>
      </c>
      <c r="E458" s="26" t="n">
        <f aca="false">EOMONTH(C458,0)</f>
        <v>55549</v>
      </c>
      <c r="G458" s="15" t="s">
        <v>33</v>
      </c>
      <c r="H458" s="130"/>
      <c r="I458" s="89" t="n">
        <v>0.026145</v>
      </c>
      <c r="J458" s="89" t="n">
        <v>0.026145</v>
      </c>
      <c r="M458" s="15" t="s">
        <v>33</v>
      </c>
      <c r="N458" s="18" t="n">
        <v>0</v>
      </c>
      <c r="O458" s="18" t="n">
        <v>0.026145</v>
      </c>
      <c r="P458" s="18" t="n">
        <v>0.026145</v>
      </c>
    </row>
    <row r="459" customFormat="false" ht="13.8" hidden="true" customHeight="false" outlineLevel="1" collapsed="false">
      <c r="B459" s="15" t="s">
        <v>25</v>
      </c>
      <c r="C459" s="26" t="n">
        <f aca="false">E458+1</f>
        <v>55550</v>
      </c>
      <c r="E459" s="26" t="n">
        <f aca="false">EOMONTH(C459,0)</f>
        <v>55578</v>
      </c>
      <c r="G459" s="15" t="s">
        <v>33</v>
      </c>
      <c r="H459" s="130"/>
      <c r="I459" s="89" t="n">
        <v>0.026145</v>
      </c>
      <c r="J459" s="89" t="n">
        <v>0.026145</v>
      </c>
      <c r="M459" s="15" t="s">
        <v>33</v>
      </c>
      <c r="N459" s="18" t="n">
        <v>0</v>
      </c>
      <c r="O459" s="18" t="n">
        <v>0.026145</v>
      </c>
      <c r="P459" s="18" t="n">
        <v>0.026145</v>
      </c>
    </row>
    <row r="460" customFormat="false" ht="13.8" hidden="true" customHeight="false" outlineLevel="1" collapsed="false">
      <c r="B460" s="15" t="s">
        <v>25</v>
      </c>
      <c r="C460" s="26" t="n">
        <f aca="false">E459+1</f>
        <v>55579</v>
      </c>
      <c r="E460" s="26" t="n">
        <f aca="false">EOMONTH(C460,0)</f>
        <v>55609</v>
      </c>
      <c r="G460" s="15" t="s">
        <v>33</v>
      </c>
      <c r="H460" s="130"/>
      <c r="I460" s="89" t="n">
        <v>0.026145</v>
      </c>
      <c r="J460" s="89" t="n">
        <v>0.026145</v>
      </c>
      <c r="M460" s="15" t="s">
        <v>33</v>
      </c>
      <c r="N460" s="18" t="n">
        <v>0</v>
      </c>
      <c r="O460" s="18" t="n">
        <v>0.026145</v>
      </c>
      <c r="P460" s="18" t="n">
        <v>0.026145</v>
      </c>
    </row>
    <row r="461" customFormat="false" ht="13.8" hidden="true" customHeight="false" outlineLevel="1" collapsed="false">
      <c r="B461" s="15" t="s">
        <v>25</v>
      </c>
      <c r="C461" s="26" t="n">
        <f aca="false">E460+1</f>
        <v>55610</v>
      </c>
      <c r="E461" s="26" t="n">
        <f aca="false">EOMONTH(C461,0)</f>
        <v>55639</v>
      </c>
      <c r="G461" s="15" t="s">
        <v>33</v>
      </c>
      <c r="H461" s="130"/>
      <c r="I461" s="89" t="n">
        <v>0.026145</v>
      </c>
      <c r="J461" s="89" t="n">
        <v>0.026145</v>
      </c>
      <c r="M461" s="15" t="s">
        <v>33</v>
      </c>
      <c r="N461" s="18" t="n">
        <v>0</v>
      </c>
      <c r="O461" s="18" t="n">
        <v>0.026145</v>
      </c>
      <c r="P461" s="18" t="n">
        <v>0.026145</v>
      </c>
    </row>
    <row r="462" customFormat="false" ht="13.8" hidden="true" customHeight="false" outlineLevel="1" collapsed="false">
      <c r="B462" s="15" t="s">
        <v>25</v>
      </c>
      <c r="C462" s="26" t="n">
        <f aca="false">E461+1</f>
        <v>55640</v>
      </c>
      <c r="E462" s="26" t="n">
        <f aca="false">EOMONTH(C462,0)</f>
        <v>55670</v>
      </c>
      <c r="G462" s="15" t="s">
        <v>33</v>
      </c>
      <c r="H462" s="130"/>
      <c r="I462" s="89" t="n">
        <v>0.026145</v>
      </c>
      <c r="J462" s="89" t="n">
        <v>0.026145</v>
      </c>
      <c r="M462" s="15" t="s">
        <v>33</v>
      </c>
      <c r="N462" s="18" t="n">
        <v>0</v>
      </c>
      <c r="O462" s="18" t="n">
        <v>0.026145</v>
      </c>
      <c r="P462" s="18" t="n">
        <v>0.026145</v>
      </c>
    </row>
    <row r="463" customFormat="false" ht="13.8" hidden="true" customHeight="false" outlineLevel="1" collapsed="false">
      <c r="B463" s="15" t="s">
        <v>25</v>
      </c>
      <c r="C463" s="26" t="n">
        <f aca="false">E462+1</f>
        <v>55671</v>
      </c>
      <c r="E463" s="26" t="n">
        <f aca="false">EOMONTH(C463,0)</f>
        <v>55700</v>
      </c>
      <c r="G463" s="15" t="s">
        <v>33</v>
      </c>
      <c r="H463" s="130"/>
      <c r="I463" s="89" t="n">
        <v>0.026145</v>
      </c>
      <c r="J463" s="89" t="n">
        <v>0.026145</v>
      </c>
      <c r="M463" s="15" t="s">
        <v>33</v>
      </c>
      <c r="N463" s="18" t="n">
        <v>0</v>
      </c>
      <c r="O463" s="18" t="n">
        <v>0.026145</v>
      </c>
      <c r="P463" s="18" t="n">
        <v>0.026145</v>
      </c>
    </row>
    <row r="464" customFormat="false" ht="13.8" hidden="true" customHeight="false" outlineLevel="1" collapsed="false">
      <c r="B464" s="15" t="s">
        <v>25</v>
      </c>
      <c r="C464" s="26" t="n">
        <f aca="false">E463+1</f>
        <v>55701</v>
      </c>
      <c r="E464" s="26" t="n">
        <f aca="false">EOMONTH(C464,0)</f>
        <v>55731</v>
      </c>
      <c r="G464" s="15" t="s">
        <v>33</v>
      </c>
      <c r="H464" s="130"/>
      <c r="I464" s="89" t="n">
        <v>0.026145</v>
      </c>
      <c r="J464" s="89" t="n">
        <v>0.026145</v>
      </c>
      <c r="M464" s="15" t="s">
        <v>33</v>
      </c>
      <c r="N464" s="18" t="n">
        <v>0</v>
      </c>
      <c r="O464" s="18" t="n">
        <v>0.026145</v>
      </c>
      <c r="P464" s="18" t="n">
        <v>0.026145</v>
      </c>
    </row>
    <row r="465" customFormat="false" ht="13.8" hidden="true" customHeight="false" outlineLevel="1" collapsed="false">
      <c r="B465" s="15" t="s">
        <v>25</v>
      </c>
      <c r="C465" s="26" t="n">
        <f aca="false">E464+1</f>
        <v>55732</v>
      </c>
      <c r="E465" s="26" t="n">
        <f aca="false">EOMONTH(C465,0)</f>
        <v>55762</v>
      </c>
      <c r="G465" s="15" t="s">
        <v>33</v>
      </c>
      <c r="H465" s="130"/>
      <c r="I465" s="89" t="n">
        <v>0.026145</v>
      </c>
      <c r="J465" s="89" t="n">
        <v>0.026145</v>
      </c>
      <c r="M465" s="15" t="s">
        <v>33</v>
      </c>
      <c r="N465" s="18" t="n">
        <v>0</v>
      </c>
      <c r="O465" s="18" t="n">
        <v>0.026145</v>
      </c>
      <c r="P465" s="18" t="n">
        <v>0.026145</v>
      </c>
    </row>
    <row r="466" customFormat="false" ht="13.8" hidden="true" customHeight="false" outlineLevel="1" collapsed="false">
      <c r="B466" s="15" t="s">
        <v>25</v>
      </c>
      <c r="C466" s="26" t="n">
        <f aca="false">E465+1</f>
        <v>55763</v>
      </c>
      <c r="E466" s="26" t="n">
        <f aca="false">EOMONTH(C466,0)</f>
        <v>55792</v>
      </c>
      <c r="G466" s="15" t="s">
        <v>33</v>
      </c>
      <c r="H466" s="130"/>
      <c r="I466" s="89" t="n">
        <v>0.026145</v>
      </c>
      <c r="J466" s="89" t="n">
        <v>0.026145</v>
      </c>
      <c r="M466" s="15" t="s">
        <v>33</v>
      </c>
      <c r="N466" s="18" t="n">
        <v>0</v>
      </c>
      <c r="O466" s="18" t="n">
        <v>0.026145</v>
      </c>
      <c r="P466" s="18" t="n">
        <v>0.026145</v>
      </c>
    </row>
    <row r="467" customFormat="false" ht="13.8" hidden="true" customHeight="false" outlineLevel="1" collapsed="false">
      <c r="B467" s="15" t="s">
        <v>25</v>
      </c>
      <c r="C467" s="26" t="n">
        <f aca="false">E466+1</f>
        <v>55793</v>
      </c>
      <c r="E467" s="26" t="n">
        <f aca="false">EOMONTH(C467,0)</f>
        <v>55823</v>
      </c>
      <c r="G467" s="15" t="s">
        <v>33</v>
      </c>
      <c r="H467" s="130"/>
      <c r="I467" s="89" t="n">
        <v>0.026145</v>
      </c>
      <c r="J467" s="89" t="n">
        <v>0.026145</v>
      </c>
      <c r="M467" s="15" t="s">
        <v>33</v>
      </c>
      <c r="N467" s="18" t="n">
        <v>0</v>
      </c>
      <c r="O467" s="18" t="n">
        <v>0.026145</v>
      </c>
      <c r="P467" s="18" t="n">
        <v>0.026145</v>
      </c>
    </row>
    <row r="468" customFormat="false" ht="13.8" hidden="true" customHeight="false" outlineLevel="1" collapsed="false">
      <c r="B468" s="15" t="s">
        <v>25</v>
      </c>
      <c r="C468" s="26" t="n">
        <f aca="false">E467+1</f>
        <v>55824</v>
      </c>
      <c r="E468" s="26" t="n">
        <f aca="false">EOMONTH(C468,0)</f>
        <v>55853</v>
      </c>
      <c r="G468" s="15" t="s">
        <v>33</v>
      </c>
      <c r="H468" s="130"/>
      <c r="I468" s="89" t="n">
        <v>0.026145</v>
      </c>
      <c r="J468" s="89" t="n">
        <v>0.026145</v>
      </c>
      <c r="M468" s="15" t="s">
        <v>33</v>
      </c>
      <c r="N468" s="18" t="n">
        <v>0</v>
      </c>
      <c r="O468" s="18" t="n">
        <v>0.026145</v>
      </c>
      <c r="P468" s="18" t="n">
        <v>0.026145</v>
      </c>
    </row>
    <row r="469" customFormat="false" ht="13.8" hidden="true" customHeight="false" outlineLevel="1" collapsed="false">
      <c r="B469" s="15" t="s">
        <v>25</v>
      </c>
      <c r="C469" s="26" t="n">
        <f aca="false">E468+1</f>
        <v>55854</v>
      </c>
      <c r="E469" s="26" t="n">
        <f aca="false">EOMONTH(C469,0)</f>
        <v>55884</v>
      </c>
      <c r="G469" s="15" t="s">
        <v>33</v>
      </c>
      <c r="H469" s="130"/>
      <c r="I469" s="89" t="n">
        <v>0.026145</v>
      </c>
      <c r="J469" s="89" t="n">
        <v>0.026145</v>
      </c>
      <c r="M469" s="15" t="s">
        <v>33</v>
      </c>
      <c r="N469" s="18" t="n">
        <v>0</v>
      </c>
      <c r="O469" s="18" t="n">
        <v>0.026145</v>
      </c>
      <c r="P469" s="18" t="n">
        <v>0.026145</v>
      </c>
    </row>
    <row r="470" customFormat="false" ht="13.8" hidden="true" customHeight="false" outlineLevel="1" collapsed="false">
      <c r="B470" s="15" t="s">
        <v>25</v>
      </c>
      <c r="C470" s="26" t="n">
        <f aca="false">E469+1</f>
        <v>55885</v>
      </c>
      <c r="E470" s="26" t="n">
        <f aca="false">EOMONTH(C470,0)</f>
        <v>55915</v>
      </c>
      <c r="G470" s="15" t="s">
        <v>33</v>
      </c>
      <c r="H470" s="130"/>
      <c r="I470" s="89" t="n">
        <v>0.026145</v>
      </c>
      <c r="J470" s="89" t="n">
        <v>0.026145</v>
      </c>
      <c r="M470" s="15" t="s">
        <v>33</v>
      </c>
      <c r="N470" s="18" t="n">
        <v>0</v>
      </c>
      <c r="O470" s="18" t="n">
        <v>0.026145</v>
      </c>
      <c r="P470" s="18" t="n">
        <v>0.026145</v>
      </c>
    </row>
    <row r="471" customFormat="false" ht="13.8" hidden="true" customHeight="false" outlineLevel="1" collapsed="false">
      <c r="B471" s="15" t="s">
        <v>25</v>
      </c>
      <c r="C471" s="26" t="n">
        <f aca="false">E470+1</f>
        <v>55916</v>
      </c>
      <c r="E471" s="26" t="n">
        <f aca="false">EOMONTH(C471,0)</f>
        <v>55943</v>
      </c>
      <c r="G471" s="15" t="s">
        <v>33</v>
      </c>
      <c r="H471" s="130"/>
      <c r="I471" s="89" t="n">
        <v>0.026145</v>
      </c>
      <c r="J471" s="89" t="n">
        <v>0.026145</v>
      </c>
      <c r="M471" s="15" t="s">
        <v>33</v>
      </c>
      <c r="N471" s="18" t="n">
        <v>0</v>
      </c>
      <c r="O471" s="18" t="n">
        <v>0.026145</v>
      </c>
      <c r="P471" s="18" t="n">
        <v>0.026145</v>
      </c>
    </row>
    <row r="472" customFormat="false" ht="13.8" hidden="true" customHeight="false" outlineLevel="1" collapsed="false">
      <c r="B472" s="15" t="s">
        <v>25</v>
      </c>
      <c r="C472" s="26" t="n">
        <f aca="false">E471+1</f>
        <v>55944</v>
      </c>
      <c r="E472" s="26" t="n">
        <f aca="false">EOMONTH(C472,0)</f>
        <v>55974</v>
      </c>
      <c r="G472" s="15" t="s">
        <v>33</v>
      </c>
      <c r="H472" s="130"/>
      <c r="I472" s="89" t="n">
        <v>0.026145</v>
      </c>
      <c r="J472" s="89" t="n">
        <v>0.026145</v>
      </c>
      <c r="M472" s="15" t="s">
        <v>33</v>
      </c>
      <c r="N472" s="18" t="n">
        <v>0</v>
      </c>
      <c r="O472" s="18" t="n">
        <v>0.026145</v>
      </c>
      <c r="P472" s="18" t="n">
        <v>0.026145</v>
      </c>
    </row>
    <row r="473" customFormat="false" ht="13.8" hidden="true" customHeight="false" outlineLevel="1" collapsed="false">
      <c r="B473" s="15" t="s">
        <v>25</v>
      </c>
      <c r="C473" s="26" t="n">
        <f aca="false">E472+1</f>
        <v>55975</v>
      </c>
      <c r="E473" s="26" t="n">
        <f aca="false">EOMONTH(C473,0)</f>
        <v>56004</v>
      </c>
      <c r="G473" s="15" t="s">
        <v>33</v>
      </c>
      <c r="H473" s="130"/>
      <c r="I473" s="89" t="n">
        <v>0.026145</v>
      </c>
      <c r="J473" s="89" t="n">
        <v>0.026145</v>
      </c>
      <c r="M473" s="15" t="s">
        <v>33</v>
      </c>
      <c r="N473" s="18" t="n">
        <v>0</v>
      </c>
      <c r="O473" s="18" t="n">
        <v>0.026145</v>
      </c>
      <c r="P473" s="18" t="n">
        <v>0.026145</v>
      </c>
    </row>
    <row r="474" customFormat="false" ht="13.8" hidden="true" customHeight="false" outlineLevel="1" collapsed="false">
      <c r="B474" s="15" t="s">
        <v>25</v>
      </c>
      <c r="C474" s="26" t="n">
        <f aca="false">E473+1</f>
        <v>56005</v>
      </c>
      <c r="E474" s="26" t="n">
        <f aca="false">EOMONTH(C474,0)</f>
        <v>56035</v>
      </c>
      <c r="G474" s="15" t="s">
        <v>33</v>
      </c>
      <c r="H474" s="130"/>
      <c r="I474" s="89" t="n">
        <v>0.026145</v>
      </c>
      <c r="J474" s="89" t="n">
        <v>0.026145</v>
      </c>
      <c r="M474" s="15" t="s">
        <v>33</v>
      </c>
      <c r="N474" s="18" t="n">
        <v>0</v>
      </c>
      <c r="O474" s="18" t="n">
        <v>0.026145</v>
      </c>
      <c r="P474" s="18" t="n">
        <v>0.026145</v>
      </c>
    </row>
    <row r="475" customFormat="false" ht="13.8" hidden="true" customHeight="false" outlineLevel="1" collapsed="false">
      <c r="B475" s="15" t="s">
        <v>25</v>
      </c>
      <c r="C475" s="26" t="n">
        <f aca="false">E474+1</f>
        <v>56036</v>
      </c>
      <c r="E475" s="26" t="n">
        <f aca="false">EOMONTH(C475,0)</f>
        <v>56065</v>
      </c>
      <c r="G475" s="15" t="s">
        <v>33</v>
      </c>
      <c r="H475" s="130"/>
      <c r="I475" s="89" t="n">
        <v>0.026145</v>
      </c>
      <c r="J475" s="89" t="n">
        <v>0.026145</v>
      </c>
      <c r="M475" s="15" t="s">
        <v>33</v>
      </c>
      <c r="N475" s="18" t="n">
        <v>0</v>
      </c>
      <c r="O475" s="18" t="n">
        <v>0.026145</v>
      </c>
      <c r="P475" s="18" t="n">
        <v>0.026145</v>
      </c>
    </row>
    <row r="476" customFormat="false" ht="13.8" hidden="true" customHeight="false" outlineLevel="1" collapsed="false">
      <c r="B476" s="15" t="s">
        <v>25</v>
      </c>
      <c r="C476" s="26" t="n">
        <f aca="false">E475+1</f>
        <v>56066</v>
      </c>
      <c r="E476" s="26" t="n">
        <f aca="false">EOMONTH(C476,0)</f>
        <v>56096</v>
      </c>
      <c r="G476" s="15" t="s">
        <v>33</v>
      </c>
      <c r="H476" s="130"/>
      <c r="I476" s="89" t="n">
        <v>0.026145</v>
      </c>
      <c r="J476" s="89" t="n">
        <v>0.026145</v>
      </c>
      <c r="M476" s="15" t="s">
        <v>33</v>
      </c>
      <c r="N476" s="18" t="n">
        <v>0</v>
      </c>
      <c r="O476" s="18" t="n">
        <v>0.026145</v>
      </c>
      <c r="P476" s="18" t="n">
        <v>0.026145</v>
      </c>
    </row>
    <row r="477" customFormat="false" ht="13.8" hidden="true" customHeight="false" outlineLevel="1" collapsed="false">
      <c r="B477" s="15" t="s">
        <v>25</v>
      </c>
      <c r="C477" s="26" t="n">
        <f aca="false">E476+1</f>
        <v>56097</v>
      </c>
      <c r="E477" s="26" t="n">
        <f aca="false">EOMONTH(C477,0)</f>
        <v>56127</v>
      </c>
      <c r="G477" s="15" t="s">
        <v>33</v>
      </c>
      <c r="H477" s="130"/>
      <c r="I477" s="89" t="n">
        <v>0.026145</v>
      </c>
      <c r="J477" s="89" t="n">
        <v>0.026145</v>
      </c>
      <c r="M477" s="15" t="s">
        <v>33</v>
      </c>
      <c r="N477" s="18" t="n">
        <v>0</v>
      </c>
      <c r="O477" s="18" t="n">
        <v>0.026145</v>
      </c>
      <c r="P477" s="18" t="n">
        <v>0.026145</v>
      </c>
    </row>
    <row r="478" customFormat="false" ht="13.8" hidden="true" customHeight="false" outlineLevel="1" collapsed="false">
      <c r="B478" s="15" t="s">
        <v>25</v>
      </c>
      <c r="C478" s="26" t="n">
        <f aca="false">E477+1</f>
        <v>56128</v>
      </c>
      <c r="E478" s="26" t="n">
        <f aca="false">EOMONTH(C478,0)</f>
        <v>56157</v>
      </c>
      <c r="G478" s="15" t="s">
        <v>33</v>
      </c>
      <c r="H478" s="130"/>
      <c r="I478" s="89" t="n">
        <v>0.026145</v>
      </c>
      <c r="J478" s="89" t="n">
        <v>0.026145</v>
      </c>
      <c r="M478" s="15" t="s">
        <v>33</v>
      </c>
      <c r="N478" s="18" t="n">
        <v>0</v>
      </c>
      <c r="O478" s="18" t="n">
        <v>0.026145</v>
      </c>
      <c r="P478" s="18" t="n">
        <v>0.026145</v>
      </c>
    </row>
    <row r="479" customFormat="false" ht="13.8" hidden="true" customHeight="false" outlineLevel="1" collapsed="false">
      <c r="B479" s="15" t="s">
        <v>25</v>
      </c>
      <c r="C479" s="26" t="n">
        <f aca="false">E478+1</f>
        <v>56158</v>
      </c>
      <c r="E479" s="26" t="n">
        <f aca="false">EOMONTH(C479,0)</f>
        <v>56188</v>
      </c>
      <c r="G479" s="15" t="s">
        <v>33</v>
      </c>
      <c r="H479" s="130"/>
      <c r="I479" s="89" t="n">
        <v>0.026145</v>
      </c>
      <c r="J479" s="89" t="n">
        <v>0.026145</v>
      </c>
      <c r="M479" s="15" t="s">
        <v>33</v>
      </c>
      <c r="N479" s="18" t="n">
        <v>0</v>
      </c>
      <c r="O479" s="18" t="n">
        <v>0.026145</v>
      </c>
      <c r="P479" s="18" t="n">
        <v>0.026145</v>
      </c>
    </row>
    <row r="480" customFormat="false" ht="13.8" hidden="true" customHeight="false" outlineLevel="1" collapsed="false">
      <c r="B480" s="15" t="s">
        <v>25</v>
      </c>
      <c r="C480" s="26" t="n">
        <f aca="false">E479+1</f>
        <v>56189</v>
      </c>
      <c r="E480" s="26" t="n">
        <f aca="false">EOMONTH(C480,0)</f>
        <v>56218</v>
      </c>
      <c r="G480" s="15" t="s">
        <v>33</v>
      </c>
      <c r="H480" s="130"/>
      <c r="I480" s="89" t="n">
        <v>0.026145</v>
      </c>
      <c r="J480" s="89" t="n">
        <v>0.026145</v>
      </c>
      <c r="M480" s="15" t="s">
        <v>33</v>
      </c>
      <c r="N480" s="18" t="n">
        <v>0</v>
      </c>
      <c r="O480" s="18" t="n">
        <v>0.026145</v>
      </c>
      <c r="P480" s="18" t="n">
        <v>0.026145</v>
      </c>
    </row>
    <row r="481" customFormat="false" ht="13.8" hidden="true" customHeight="false" outlineLevel="1" collapsed="false">
      <c r="B481" s="15" t="s">
        <v>25</v>
      </c>
      <c r="C481" s="26" t="n">
        <f aca="false">E480+1</f>
        <v>56219</v>
      </c>
      <c r="E481" s="26" t="n">
        <f aca="false">EOMONTH(C481,0)</f>
        <v>56249</v>
      </c>
      <c r="G481" s="15" t="s">
        <v>33</v>
      </c>
      <c r="H481" s="130"/>
      <c r="I481" s="89" t="n">
        <v>0.026145</v>
      </c>
      <c r="J481" s="89" t="n">
        <v>0.026145</v>
      </c>
      <c r="M481" s="15" t="s">
        <v>33</v>
      </c>
      <c r="N481" s="18" t="n">
        <v>0</v>
      </c>
      <c r="O481" s="18" t="n">
        <v>0.026145</v>
      </c>
      <c r="P481" s="18" t="n">
        <v>0.026145</v>
      </c>
    </row>
    <row r="482" customFormat="false" ht="13.8" hidden="true" customHeight="false" outlineLevel="1" collapsed="false">
      <c r="B482" s="15" t="s">
        <v>25</v>
      </c>
      <c r="C482" s="26" t="n">
        <f aca="false">E481+1</f>
        <v>56250</v>
      </c>
      <c r="E482" s="26" t="n">
        <f aca="false">EOMONTH(C482,0)</f>
        <v>56280</v>
      </c>
      <c r="G482" s="15" t="s">
        <v>33</v>
      </c>
      <c r="H482" s="130"/>
      <c r="I482" s="89" t="n">
        <v>0.026145</v>
      </c>
      <c r="J482" s="89" t="n">
        <v>0.026145</v>
      </c>
      <c r="M482" s="15" t="s">
        <v>33</v>
      </c>
      <c r="N482" s="18" t="n">
        <v>0</v>
      </c>
      <c r="O482" s="18" t="n">
        <v>0.026145</v>
      </c>
      <c r="P482" s="18" t="n">
        <v>0.026145</v>
      </c>
    </row>
    <row r="483" customFormat="false" ht="13.8" hidden="true" customHeight="false" outlineLevel="1" collapsed="false">
      <c r="B483" s="15" t="s">
        <v>25</v>
      </c>
      <c r="C483" s="26" t="n">
        <f aca="false">E482+1</f>
        <v>56281</v>
      </c>
      <c r="E483" s="26" t="n">
        <f aca="false">EOMONTH(C483,0)</f>
        <v>56308</v>
      </c>
      <c r="G483" s="15" t="s">
        <v>33</v>
      </c>
      <c r="H483" s="130"/>
      <c r="I483" s="89" t="n">
        <v>0.026145</v>
      </c>
      <c r="J483" s="89" t="n">
        <v>0.026145</v>
      </c>
      <c r="M483" s="15" t="s">
        <v>33</v>
      </c>
      <c r="N483" s="18" t="n">
        <v>0</v>
      </c>
      <c r="O483" s="18" t="n">
        <v>0.026145</v>
      </c>
      <c r="P483" s="18" t="n">
        <v>0.026145</v>
      </c>
    </row>
    <row r="484" customFormat="false" ht="13.8" hidden="true" customHeight="false" outlineLevel="1" collapsed="false">
      <c r="B484" s="15" t="s">
        <v>25</v>
      </c>
      <c r="C484" s="26" t="n">
        <f aca="false">E483+1</f>
        <v>56309</v>
      </c>
      <c r="E484" s="26" t="n">
        <f aca="false">EOMONTH(C484,0)</f>
        <v>56339</v>
      </c>
      <c r="G484" s="15" t="s">
        <v>33</v>
      </c>
      <c r="H484" s="130"/>
      <c r="I484" s="89" t="n">
        <v>0.026145</v>
      </c>
      <c r="J484" s="89" t="n">
        <v>0.026145</v>
      </c>
      <c r="M484" s="15" t="s">
        <v>33</v>
      </c>
      <c r="N484" s="18" t="n">
        <v>0</v>
      </c>
      <c r="O484" s="18" t="n">
        <v>0.026145</v>
      </c>
      <c r="P484" s="18" t="n">
        <v>0.026145</v>
      </c>
    </row>
    <row r="485" customFormat="false" ht="13.8" hidden="true" customHeight="false" outlineLevel="1" collapsed="false">
      <c r="B485" s="15" t="s">
        <v>25</v>
      </c>
      <c r="C485" s="26" t="n">
        <f aca="false">E484+1</f>
        <v>56340</v>
      </c>
      <c r="E485" s="26" t="n">
        <f aca="false">EOMONTH(C485,0)</f>
        <v>56369</v>
      </c>
      <c r="G485" s="15" t="s">
        <v>33</v>
      </c>
      <c r="H485" s="130"/>
      <c r="I485" s="89" t="n">
        <v>0.026145</v>
      </c>
      <c r="J485" s="89" t="n">
        <v>0.026145</v>
      </c>
      <c r="M485" s="15" t="s">
        <v>33</v>
      </c>
      <c r="N485" s="18" t="n">
        <v>0</v>
      </c>
      <c r="O485" s="18" t="n">
        <v>0.026145</v>
      </c>
      <c r="P485" s="18" t="n">
        <v>0.026145</v>
      </c>
    </row>
    <row r="486" customFormat="false" ht="13.8" hidden="true" customHeight="false" outlineLevel="1" collapsed="false">
      <c r="B486" s="15" t="s">
        <v>25</v>
      </c>
      <c r="C486" s="26" t="n">
        <f aca="false">E485+1</f>
        <v>56370</v>
      </c>
      <c r="E486" s="26" t="n">
        <f aca="false">EOMONTH(C486,0)</f>
        <v>56400</v>
      </c>
      <c r="G486" s="15" t="s">
        <v>33</v>
      </c>
      <c r="H486" s="130"/>
      <c r="I486" s="89" t="n">
        <v>0.026145</v>
      </c>
      <c r="J486" s="89" t="n">
        <v>0.026145</v>
      </c>
      <c r="M486" s="15" t="s">
        <v>33</v>
      </c>
      <c r="N486" s="18" t="n">
        <v>0</v>
      </c>
      <c r="O486" s="18" t="n">
        <v>0.026145</v>
      </c>
      <c r="P486" s="18" t="n">
        <v>0.026145</v>
      </c>
    </row>
    <row r="487" customFormat="false" ht="13.8" hidden="true" customHeight="false" outlineLevel="1" collapsed="false">
      <c r="B487" s="15" t="s">
        <v>25</v>
      </c>
      <c r="C487" s="26" t="n">
        <f aca="false">E486+1</f>
        <v>56401</v>
      </c>
      <c r="E487" s="26" t="n">
        <f aca="false">EOMONTH(C487,0)</f>
        <v>56430</v>
      </c>
      <c r="G487" s="15" t="s">
        <v>33</v>
      </c>
      <c r="H487" s="130"/>
      <c r="I487" s="89" t="n">
        <v>0.026145</v>
      </c>
      <c r="J487" s="89" t="n">
        <v>0.026145</v>
      </c>
      <c r="M487" s="15" t="s">
        <v>33</v>
      </c>
      <c r="N487" s="18" t="n">
        <v>0</v>
      </c>
      <c r="O487" s="18" t="n">
        <v>0.026145</v>
      </c>
      <c r="P487" s="18" t="n">
        <v>0.026145</v>
      </c>
    </row>
    <row r="488" customFormat="false" ht="13.8" hidden="true" customHeight="false" outlineLevel="1" collapsed="false">
      <c r="B488" s="15" t="s">
        <v>25</v>
      </c>
      <c r="C488" s="26" t="n">
        <f aca="false">E487+1</f>
        <v>56431</v>
      </c>
      <c r="E488" s="26" t="n">
        <f aca="false">EOMONTH(C488,0)</f>
        <v>56461</v>
      </c>
      <c r="G488" s="15" t="s">
        <v>33</v>
      </c>
      <c r="H488" s="130"/>
      <c r="I488" s="89" t="n">
        <v>0.026145</v>
      </c>
      <c r="J488" s="89" t="n">
        <v>0.026145</v>
      </c>
      <c r="M488" s="15" t="s">
        <v>33</v>
      </c>
      <c r="N488" s="18" t="n">
        <v>0</v>
      </c>
      <c r="O488" s="18" t="n">
        <v>0.026145</v>
      </c>
      <c r="P488" s="18" t="n">
        <v>0.026145</v>
      </c>
    </row>
    <row r="489" customFormat="false" ht="13.8" hidden="true" customHeight="false" outlineLevel="1" collapsed="false">
      <c r="B489" s="15" t="s">
        <v>25</v>
      </c>
      <c r="C489" s="26" t="n">
        <f aca="false">E488+1</f>
        <v>56462</v>
      </c>
      <c r="E489" s="26" t="n">
        <f aca="false">EOMONTH(C489,0)</f>
        <v>56492</v>
      </c>
      <c r="G489" s="15" t="s">
        <v>33</v>
      </c>
      <c r="H489" s="130"/>
      <c r="I489" s="89" t="n">
        <v>0.026145</v>
      </c>
      <c r="J489" s="89" t="n">
        <v>0.026145</v>
      </c>
      <c r="M489" s="15" t="s">
        <v>33</v>
      </c>
      <c r="N489" s="18" t="n">
        <v>0</v>
      </c>
      <c r="O489" s="18" t="n">
        <v>0.026145</v>
      </c>
      <c r="P489" s="18" t="n">
        <v>0.026145</v>
      </c>
    </row>
    <row r="490" customFormat="false" ht="13.8" hidden="true" customHeight="false" outlineLevel="1" collapsed="false">
      <c r="B490" s="15" t="s">
        <v>25</v>
      </c>
      <c r="C490" s="26" t="n">
        <f aca="false">E489+1</f>
        <v>56493</v>
      </c>
      <c r="E490" s="26" t="n">
        <f aca="false">EOMONTH(C490,0)</f>
        <v>56522</v>
      </c>
      <c r="G490" s="15" t="s">
        <v>33</v>
      </c>
      <c r="H490" s="130"/>
      <c r="I490" s="89" t="n">
        <v>0.026145</v>
      </c>
      <c r="J490" s="89" t="n">
        <v>0.026145</v>
      </c>
      <c r="M490" s="15" t="s">
        <v>33</v>
      </c>
      <c r="N490" s="18" t="n">
        <v>0</v>
      </c>
      <c r="O490" s="18" t="n">
        <v>0.026145</v>
      </c>
      <c r="P490" s="18" t="n">
        <v>0.026145</v>
      </c>
    </row>
    <row r="491" customFormat="false" ht="13.8" hidden="true" customHeight="false" outlineLevel="1" collapsed="false">
      <c r="B491" s="15" t="s">
        <v>25</v>
      </c>
      <c r="C491" s="26" t="n">
        <f aca="false">E490+1</f>
        <v>56523</v>
      </c>
      <c r="E491" s="26" t="n">
        <f aca="false">EOMONTH(C491,0)</f>
        <v>56553</v>
      </c>
      <c r="G491" s="15" t="s">
        <v>33</v>
      </c>
      <c r="H491" s="130"/>
      <c r="I491" s="89" t="n">
        <v>0.026145</v>
      </c>
      <c r="J491" s="89" t="n">
        <v>0.026145</v>
      </c>
      <c r="M491" s="15" t="s">
        <v>33</v>
      </c>
      <c r="N491" s="18" t="n">
        <v>0</v>
      </c>
      <c r="O491" s="18" t="n">
        <v>0.026145</v>
      </c>
      <c r="P491" s="18" t="n">
        <v>0.026145</v>
      </c>
    </row>
    <row r="492" customFormat="false" ht="13.8" hidden="true" customHeight="false" outlineLevel="1" collapsed="false">
      <c r="B492" s="15" t="s">
        <v>25</v>
      </c>
      <c r="C492" s="26" t="n">
        <f aca="false">E491+1</f>
        <v>56554</v>
      </c>
      <c r="E492" s="26" t="n">
        <f aca="false">EOMONTH(C492,0)</f>
        <v>56583</v>
      </c>
      <c r="G492" s="15" t="s">
        <v>33</v>
      </c>
      <c r="H492" s="130"/>
      <c r="I492" s="89" t="n">
        <v>0.026145</v>
      </c>
      <c r="J492" s="89" t="n">
        <v>0.026145</v>
      </c>
      <c r="M492" s="15" t="s">
        <v>33</v>
      </c>
      <c r="N492" s="18" t="n">
        <v>0</v>
      </c>
      <c r="O492" s="18" t="n">
        <v>0.026145</v>
      </c>
      <c r="P492" s="18" t="n">
        <v>0.026145</v>
      </c>
    </row>
    <row r="493" customFormat="false" ht="13.8" hidden="true" customHeight="false" outlineLevel="1" collapsed="false">
      <c r="B493" s="15" t="s">
        <v>25</v>
      </c>
      <c r="C493" s="26" t="n">
        <f aca="false">E492+1</f>
        <v>56584</v>
      </c>
      <c r="E493" s="26" t="n">
        <f aca="false">EOMONTH(C493,0)</f>
        <v>56614</v>
      </c>
      <c r="G493" s="15" t="s">
        <v>33</v>
      </c>
      <c r="H493" s="130"/>
      <c r="I493" s="89" t="n">
        <v>0.026145</v>
      </c>
      <c r="J493" s="89" t="n">
        <v>0.026145</v>
      </c>
      <c r="M493" s="15" t="s">
        <v>33</v>
      </c>
      <c r="N493" s="18" t="n">
        <v>0</v>
      </c>
      <c r="O493" s="18" t="n">
        <v>0.026145</v>
      </c>
      <c r="P493" s="18" t="n">
        <v>0.026145</v>
      </c>
    </row>
    <row r="494" customFormat="false" ht="13.8" hidden="true" customHeight="false" outlineLevel="1" collapsed="false">
      <c r="B494" s="15" t="s">
        <v>25</v>
      </c>
      <c r="C494" s="26" t="n">
        <f aca="false">E493+1</f>
        <v>56615</v>
      </c>
      <c r="E494" s="26" t="n">
        <f aca="false">EOMONTH(C494,0)</f>
        <v>56645</v>
      </c>
      <c r="G494" s="15" t="s">
        <v>33</v>
      </c>
      <c r="H494" s="130"/>
      <c r="I494" s="89" t="n">
        <v>0.026145</v>
      </c>
      <c r="J494" s="89" t="n">
        <v>0.026145</v>
      </c>
      <c r="M494" s="15" t="s">
        <v>33</v>
      </c>
      <c r="N494" s="18" t="n">
        <v>0</v>
      </c>
      <c r="O494" s="18" t="n">
        <v>0.026145</v>
      </c>
      <c r="P494" s="18" t="n">
        <v>0.026145</v>
      </c>
    </row>
    <row r="495" customFormat="false" ht="13.8" hidden="true" customHeight="false" outlineLevel="1" collapsed="false">
      <c r="B495" s="15" t="s">
        <v>25</v>
      </c>
      <c r="C495" s="26" t="n">
        <f aca="false">E494+1</f>
        <v>56646</v>
      </c>
      <c r="E495" s="26" t="n">
        <f aca="false">EOMONTH(C495,0)</f>
        <v>56673</v>
      </c>
      <c r="G495" s="15" t="s">
        <v>33</v>
      </c>
      <c r="H495" s="130"/>
      <c r="I495" s="89" t="n">
        <v>0.026145</v>
      </c>
      <c r="J495" s="89" t="n">
        <v>0.026145</v>
      </c>
      <c r="M495" s="15" t="s">
        <v>33</v>
      </c>
      <c r="N495" s="18" t="n">
        <v>0</v>
      </c>
      <c r="O495" s="18" t="n">
        <v>0.026145</v>
      </c>
      <c r="P495" s="18" t="n">
        <v>0.026145</v>
      </c>
    </row>
    <row r="496" customFormat="false" ht="13.8" hidden="true" customHeight="false" outlineLevel="1" collapsed="false">
      <c r="B496" s="15" t="s">
        <v>25</v>
      </c>
      <c r="C496" s="26" t="n">
        <f aca="false">E495+1</f>
        <v>56674</v>
      </c>
      <c r="E496" s="26" t="n">
        <f aca="false">EOMONTH(C496,0)</f>
        <v>56704</v>
      </c>
      <c r="G496" s="15" t="s">
        <v>33</v>
      </c>
      <c r="H496" s="130"/>
      <c r="I496" s="89" t="n">
        <v>0.026145</v>
      </c>
      <c r="J496" s="89" t="n">
        <v>0.026145</v>
      </c>
      <c r="M496" s="15" t="s">
        <v>33</v>
      </c>
      <c r="N496" s="18" t="n">
        <v>0</v>
      </c>
      <c r="O496" s="18" t="n">
        <v>0.026145</v>
      </c>
      <c r="P496" s="18" t="n">
        <v>0.026145</v>
      </c>
    </row>
    <row r="497" customFormat="false" ht="13.8" hidden="true" customHeight="false" outlineLevel="1" collapsed="false">
      <c r="B497" s="15" t="s">
        <v>25</v>
      </c>
      <c r="C497" s="26" t="n">
        <f aca="false">E496+1</f>
        <v>56705</v>
      </c>
      <c r="E497" s="26" t="n">
        <f aca="false">EOMONTH(C497,0)</f>
        <v>56734</v>
      </c>
      <c r="G497" s="15" t="s">
        <v>33</v>
      </c>
      <c r="H497" s="130"/>
      <c r="I497" s="89" t="n">
        <v>0.026145</v>
      </c>
      <c r="J497" s="89" t="n">
        <v>0.026145</v>
      </c>
      <c r="M497" s="15" t="s">
        <v>33</v>
      </c>
      <c r="N497" s="18" t="n">
        <v>0</v>
      </c>
      <c r="O497" s="18" t="n">
        <v>0.026145</v>
      </c>
      <c r="P497" s="18" t="n">
        <v>0.026145</v>
      </c>
    </row>
    <row r="498" customFormat="false" ht="13.8" hidden="true" customHeight="false" outlineLevel="1" collapsed="false">
      <c r="B498" s="15" t="s">
        <v>25</v>
      </c>
      <c r="C498" s="26" t="n">
        <f aca="false">E497+1</f>
        <v>56735</v>
      </c>
      <c r="E498" s="26" t="n">
        <f aca="false">EOMONTH(C498,0)</f>
        <v>56765</v>
      </c>
      <c r="G498" s="15" t="s">
        <v>33</v>
      </c>
      <c r="H498" s="130"/>
      <c r="I498" s="89" t="n">
        <v>0.026145</v>
      </c>
      <c r="J498" s="89" t="n">
        <v>0.026145</v>
      </c>
      <c r="M498" s="15" t="s">
        <v>33</v>
      </c>
      <c r="N498" s="18" t="n">
        <v>0</v>
      </c>
      <c r="O498" s="18" t="n">
        <v>0.026145</v>
      </c>
      <c r="P498" s="18" t="n">
        <v>0.026145</v>
      </c>
    </row>
    <row r="499" customFormat="false" ht="13.8" hidden="true" customHeight="false" outlineLevel="1" collapsed="false">
      <c r="B499" s="15" t="s">
        <v>25</v>
      </c>
      <c r="C499" s="26" t="n">
        <f aca="false">E498+1</f>
        <v>56766</v>
      </c>
      <c r="E499" s="26" t="n">
        <f aca="false">EOMONTH(C499,0)</f>
        <v>56795</v>
      </c>
      <c r="G499" s="15" t="s">
        <v>33</v>
      </c>
      <c r="H499" s="130"/>
      <c r="I499" s="89" t="n">
        <v>0.026145</v>
      </c>
      <c r="J499" s="89" t="n">
        <v>0.026145</v>
      </c>
      <c r="M499" s="15" t="s">
        <v>33</v>
      </c>
      <c r="N499" s="18" t="n">
        <v>0</v>
      </c>
      <c r="O499" s="18" t="n">
        <v>0.026145</v>
      </c>
      <c r="P499" s="18" t="n">
        <v>0.026145</v>
      </c>
    </row>
    <row r="500" customFormat="false" ht="13.8" hidden="true" customHeight="false" outlineLevel="1" collapsed="false">
      <c r="B500" s="15" t="s">
        <v>25</v>
      </c>
      <c r="C500" s="26" t="n">
        <f aca="false">E499+1</f>
        <v>56796</v>
      </c>
      <c r="E500" s="26" t="n">
        <f aca="false">EOMONTH(C500,0)</f>
        <v>56826</v>
      </c>
      <c r="G500" s="15" t="s">
        <v>33</v>
      </c>
      <c r="H500" s="130"/>
      <c r="I500" s="89" t="n">
        <v>0.026145</v>
      </c>
      <c r="J500" s="89" t="n">
        <v>0.026145</v>
      </c>
      <c r="M500" s="15" t="s">
        <v>33</v>
      </c>
      <c r="N500" s="18" t="n">
        <v>0</v>
      </c>
      <c r="O500" s="18" t="n">
        <v>0.026145</v>
      </c>
      <c r="P500" s="18" t="n">
        <v>0.026145</v>
      </c>
    </row>
    <row r="501" customFormat="false" ht="13.8" hidden="true" customHeight="false" outlineLevel="1" collapsed="false">
      <c r="B501" s="15" t="s">
        <v>25</v>
      </c>
      <c r="C501" s="26" t="n">
        <f aca="false">E500+1</f>
        <v>56827</v>
      </c>
      <c r="E501" s="26" t="n">
        <f aca="false">EOMONTH(C501,0)</f>
        <v>56857</v>
      </c>
      <c r="G501" s="15" t="s">
        <v>33</v>
      </c>
      <c r="H501" s="130"/>
      <c r="I501" s="89" t="n">
        <v>0.026145</v>
      </c>
      <c r="J501" s="89" t="n">
        <v>0.026145</v>
      </c>
      <c r="M501" s="15" t="s">
        <v>33</v>
      </c>
      <c r="N501" s="18" t="n">
        <v>0</v>
      </c>
      <c r="O501" s="18" t="n">
        <v>0.026145</v>
      </c>
      <c r="P501" s="18" t="n">
        <v>0.026145</v>
      </c>
    </row>
    <row r="502" customFormat="false" ht="13.8" hidden="true" customHeight="false" outlineLevel="1" collapsed="false">
      <c r="B502" s="15" t="s">
        <v>25</v>
      </c>
      <c r="C502" s="26" t="n">
        <f aca="false">E501+1</f>
        <v>56858</v>
      </c>
      <c r="E502" s="26" t="n">
        <f aca="false">EOMONTH(C502,0)</f>
        <v>56887</v>
      </c>
      <c r="G502" s="15" t="s">
        <v>33</v>
      </c>
      <c r="H502" s="130"/>
      <c r="I502" s="89" t="n">
        <v>0.026145</v>
      </c>
      <c r="J502" s="89" t="n">
        <v>0.026145</v>
      </c>
      <c r="M502" s="15" t="s">
        <v>33</v>
      </c>
      <c r="N502" s="18" t="n">
        <v>0</v>
      </c>
      <c r="O502" s="18" t="n">
        <v>0.026145</v>
      </c>
      <c r="P502" s="18" t="n">
        <v>0.026145</v>
      </c>
    </row>
    <row r="503" customFormat="false" ht="13.8" hidden="true" customHeight="false" outlineLevel="1" collapsed="false">
      <c r="B503" s="15" t="s">
        <v>25</v>
      </c>
      <c r="C503" s="26" t="n">
        <f aca="false">E502+1</f>
        <v>56888</v>
      </c>
      <c r="E503" s="26" t="n">
        <f aca="false">EOMONTH(C503,0)</f>
        <v>56918</v>
      </c>
      <c r="G503" s="15" t="s">
        <v>33</v>
      </c>
      <c r="H503" s="130"/>
      <c r="I503" s="89" t="n">
        <v>0.026145</v>
      </c>
      <c r="J503" s="89" t="n">
        <v>0.026145</v>
      </c>
      <c r="M503" s="15" t="s">
        <v>33</v>
      </c>
      <c r="N503" s="18" t="n">
        <v>0</v>
      </c>
      <c r="O503" s="18" t="n">
        <v>0.026145</v>
      </c>
      <c r="P503" s="18" t="n">
        <v>0.026145</v>
      </c>
    </row>
    <row r="504" customFormat="false" ht="13.8" hidden="true" customHeight="false" outlineLevel="1" collapsed="false">
      <c r="B504" s="15" t="s">
        <v>25</v>
      </c>
      <c r="C504" s="26" t="n">
        <f aca="false">E503+1</f>
        <v>56919</v>
      </c>
      <c r="E504" s="26" t="n">
        <f aca="false">EOMONTH(C504,0)</f>
        <v>56948</v>
      </c>
      <c r="G504" s="15" t="s">
        <v>33</v>
      </c>
      <c r="H504" s="130"/>
      <c r="I504" s="89" t="n">
        <v>0.026145</v>
      </c>
      <c r="J504" s="89" t="n">
        <v>0.026145</v>
      </c>
      <c r="M504" s="15" t="s">
        <v>33</v>
      </c>
      <c r="N504" s="18" t="n">
        <v>0</v>
      </c>
      <c r="O504" s="18" t="n">
        <v>0.026145</v>
      </c>
      <c r="P504" s="18" t="n">
        <v>0.026145</v>
      </c>
    </row>
    <row r="505" customFormat="false" ht="13.8" hidden="true" customHeight="false" outlineLevel="1" collapsed="false">
      <c r="B505" s="15" t="s">
        <v>25</v>
      </c>
      <c r="C505" s="26" t="n">
        <f aca="false">E504+1</f>
        <v>56949</v>
      </c>
      <c r="E505" s="26" t="n">
        <f aca="false">EOMONTH(C505,0)</f>
        <v>56979</v>
      </c>
      <c r="G505" s="15" t="s">
        <v>33</v>
      </c>
      <c r="H505" s="130"/>
      <c r="I505" s="89" t="n">
        <v>0.026145</v>
      </c>
      <c r="J505" s="89" t="n">
        <v>0.026145</v>
      </c>
      <c r="M505" s="15" t="s">
        <v>33</v>
      </c>
      <c r="N505" s="18" t="n">
        <v>0</v>
      </c>
      <c r="O505" s="18" t="n">
        <v>0.026145</v>
      </c>
      <c r="P505" s="18" t="n">
        <v>0.026145</v>
      </c>
    </row>
    <row r="506" customFormat="false" ht="13.8" hidden="true" customHeight="false" outlineLevel="1" collapsed="false">
      <c r="B506" s="15" t="s">
        <v>25</v>
      </c>
      <c r="C506" s="26" t="n">
        <f aca="false">E505+1</f>
        <v>56980</v>
      </c>
      <c r="E506" s="26" t="n">
        <f aca="false">EOMONTH(C506,0)</f>
        <v>57010</v>
      </c>
      <c r="G506" s="15" t="s">
        <v>33</v>
      </c>
      <c r="H506" s="130"/>
      <c r="I506" s="89" t="n">
        <v>0.026145</v>
      </c>
      <c r="J506" s="89" t="n">
        <v>0.026145</v>
      </c>
      <c r="M506" s="15" t="s">
        <v>33</v>
      </c>
      <c r="N506" s="18" t="n">
        <v>0</v>
      </c>
      <c r="O506" s="18" t="n">
        <v>0.026145</v>
      </c>
      <c r="P506" s="18" t="n">
        <v>0.026145</v>
      </c>
    </row>
    <row r="507" customFormat="false" ht="13.8" hidden="true" customHeight="false" outlineLevel="1" collapsed="false">
      <c r="B507" s="15" t="s">
        <v>25</v>
      </c>
      <c r="C507" s="26" t="n">
        <f aca="false">E506+1</f>
        <v>57011</v>
      </c>
      <c r="E507" s="26" t="n">
        <f aca="false">EOMONTH(C507,0)</f>
        <v>57039</v>
      </c>
      <c r="G507" s="15" t="s">
        <v>33</v>
      </c>
      <c r="H507" s="130"/>
      <c r="I507" s="89" t="n">
        <v>0.026145</v>
      </c>
      <c r="J507" s="89" t="n">
        <v>0.026145</v>
      </c>
      <c r="M507" s="15" t="s">
        <v>33</v>
      </c>
      <c r="N507" s="18" t="n">
        <v>0</v>
      </c>
      <c r="O507" s="18" t="n">
        <v>0.026145</v>
      </c>
      <c r="P507" s="18" t="n">
        <v>0.026145</v>
      </c>
    </row>
    <row r="508" customFormat="false" ht="13.8" hidden="true" customHeight="false" outlineLevel="1" collapsed="false">
      <c r="B508" s="15" t="s">
        <v>25</v>
      </c>
      <c r="C508" s="26" t="n">
        <f aca="false">E507+1</f>
        <v>57040</v>
      </c>
      <c r="E508" s="26" t="n">
        <f aca="false">EOMONTH(C508,0)</f>
        <v>57070</v>
      </c>
      <c r="G508" s="15" t="s">
        <v>33</v>
      </c>
      <c r="H508" s="130"/>
      <c r="I508" s="89" t="n">
        <v>0.026145</v>
      </c>
      <c r="J508" s="89" t="n">
        <v>0.026145</v>
      </c>
      <c r="M508" s="15" t="s">
        <v>33</v>
      </c>
      <c r="N508" s="18" t="n">
        <v>0</v>
      </c>
      <c r="O508" s="18" t="n">
        <v>0.026145</v>
      </c>
      <c r="P508" s="18" t="n">
        <v>0.026145</v>
      </c>
    </row>
    <row r="509" customFormat="false" ht="13.8" hidden="true" customHeight="false" outlineLevel="1" collapsed="false">
      <c r="B509" s="15" t="s">
        <v>25</v>
      </c>
      <c r="C509" s="26" t="n">
        <f aca="false">E508+1</f>
        <v>57071</v>
      </c>
      <c r="E509" s="26" t="n">
        <f aca="false">EOMONTH(C509,0)</f>
        <v>57100</v>
      </c>
      <c r="G509" s="15" t="s">
        <v>33</v>
      </c>
      <c r="H509" s="130"/>
      <c r="I509" s="89" t="n">
        <v>0.026145</v>
      </c>
      <c r="J509" s="89" t="n">
        <v>0.026145</v>
      </c>
      <c r="M509" s="15" t="s">
        <v>33</v>
      </c>
      <c r="N509" s="18" t="n">
        <v>0</v>
      </c>
      <c r="O509" s="18" t="n">
        <v>0.026145</v>
      </c>
      <c r="P509" s="18" t="n">
        <v>0.026145</v>
      </c>
    </row>
    <row r="510" customFormat="false" ht="13.8" hidden="true" customHeight="false" outlineLevel="1" collapsed="false">
      <c r="B510" s="15" t="s">
        <v>25</v>
      </c>
      <c r="C510" s="26" t="n">
        <f aca="false">E509+1</f>
        <v>57101</v>
      </c>
      <c r="E510" s="26" t="n">
        <f aca="false">EOMONTH(C510,0)</f>
        <v>57131</v>
      </c>
      <c r="G510" s="15" t="s">
        <v>33</v>
      </c>
      <c r="H510" s="130"/>
      <c r="I510" s="89" t="n">
        <v>0.026145</v>
      </c>
      <c r="J510" s="89" t="n">
        <v>0.026145</v>
      </c>
      <c r="M510" s="15" t="s">
        <v>33</v>
      </c>
      <c r="N510" s="18" t="n">
        <v>0</v>
      </c>
      <c r="O510" s="18" t="n">
        <v>0.026145</v>
      </c>
      <c r="P510" s="18" t="n">
        <v>0.026145</v>
      </c>
    </row>
    <row r="511" customFormat="false" ht="13.8" hidden="true" customHeight="false" outlineLevel="1" collapsed="false">
      <c r="B511" s="15" t="s">
        <v>25</v>
      </c>
      <c r="C511" s="26" t="n">
        <f aca="false">E510+1</f>
        <v>57132</v>
      </c>
      <c r="E511" s="26" t="n">
        <f aca="false">EOMONTH(C511,0)</f>
        <v>57161</v>
      </c>
      <c r="G511" s="15" t="s">
        <v>33</v>
      </c>
      <c r="H511" s="130"/>
      <c r="I511" s="89" t="n">
        <v>0.026145</v>
      </c>
      <c r="J511" s="89" t="n">
        <v>0.026145</v>
      </c>
      <c r="M511" s="15" t="s">
        <v>33</v>
      </c>
      <c r="N511" s="18" t="n">
        <v>0</v>
      </c>
      <c r="O511" s="18" t="n">
        <v>0.026145</v>
      </c>
      <c r="P511" s="18" t="n">
        <v>0.026145</v>
      </c>
    </row>
    <row r="512" customFormat="false" ht="13.8" hidden="true" customHeight="false" outlineLevel="1" collapsed="false">
      <c r="B512" s="15" t="s">
        <v>25</v>
      </c>
      <c r="C512" s="26" t="n">
        <f aca="false">E511+1</f>
        <v>57162</v>
      </c>
      <c r="E512" s="26" t="n">
        <f aca="false">EOMONTH(C512,0)</f>
        <v>57192</v>
      </c>
      <c r="G512" s="15" t="s">
        <v>33</v>
      </c>
      <c r="H512" s="130"/>
      <c r="I512" s="89" t="n">
        <v>0.026145</v>
      </c>
      <c r="J512" s="89" t="n">
        <v>0.026145</v>
      </c>
      <c r="M512" s="15" t="s">
        <v>33</v>
      </c>
      <c r="N512" s="18" t="n">
        <v>0</v>
      </c>
      <c r="O512" s="18" t="n">
        <v>0.026145</v>
      </c>
      <c r="P512" s="18" t="n">
        <v>0.026145</v>
      </c>
    </row>
    <row r="513" customFormat="false" ht="13.8" hidden="true" customHeight="false" outlineLevel="1" collapsed="false">
      <c r="B513" s="15" t="s">
        <v>25</v>
      </c>
      <c r="C513" s="26" t="n">
        <f aca="false">E512+1</f>
        <v>57193</v>
      </c>
      <c r="E513" s="26" t="n">
        <f aca="false">EOMONTH(C513,0)</f>
        <v>57223</v>
      </c>
      <c r="G513" s="15" t="s">
        <v>33</v>
      </c>
      <c r="H513" s="130"/>
      <c r="I513" s="89" t="n">
        <v>0.026145</v>
      </c>
      <c r="J513" s="89" t="n">
        <v>0.026145</v>
      </c>
      <c r="M513" s="15" t="s">
        <v>33</v>
      </c>
      <c r="N513" s="18" t="n">
        <v>0</v>
      </c>
      <c r="O513" s="18" t="n">
        <v>0.026145</v>
      </c>
      <c r="P513" s="18" t="n">
        <v>0.026145</v>
      </c>
    </row>
    <row r="514" customFormat="false" ht="13.8" hidden="true" customHeight="false" outlineLevel="1" collapsed="false">
      <c r="B514" s="15" t="s">
        <v>25</v>
      </c>
      <c r="C514" s="26" t="n">
        <f aca="false">E513+1</f>
        <v>57224</v>
      </c>
      <c r="E514" s="26" t="n">
        <f aca="false">EOMONTH(C514,0)</f>
        <v>57253</v>
      </c>
      <c r="G514" s="15" t="s">
        <v>33</v>
      </c>
      <c r="H514" s="130"/>
      <c r="I514" s="89" t="n">
        <v>0.026145</v>
      </c>
      <c r="J514" s="89" t="n">
        <v>0.026145</v>
      </c>
      <c r="M514" s="15" t="s">
        <v>33</v>
      </c>
      <c r="N514" s="18" t="n">
        <v>0</v>
      </c>
      <c r="O514" s="18" t="n">
        <v>0.026145</v>
      </c>
      <c r="P514" s="18" t="n">
        <v>0.026145</v>
      </c>
    </row>
    <row r="515" customFormat="false" ht="13.8" hidden="true" customHeight="false" outlineLevel="1" collapsed="false">
      <c r="B515" s="15" t="s">
        <v>25</v>
      </c>
      <c r="C515" s="26" t="n">
        <f aca="false">E514+1</f>
        <v>57254</v>
      </c>
      <c r="E515" s="26" t="n">
        <f aca="false">EOMONTH(C515,0)</f>
        <v>57284</v>
      </c>
      <c r="G515" s="15" t="s">
        <v>33</v>
      </c>
      <c r="H515" s="130"/>
      <c r="I515" s="89" t="n">
        <v>0.026145</v>
      </c>
      <c r="J515" s="89" t="n">
        <v>0.026145</v>
      </c>
      <c r="M515" s="15" t="s">
        <v>33</v>
      </c>
      <c r="N515" s="18" t="n">
        <v>0</v>
      </c>
      <c r="O515" s="18" t="n">
        <v>0.026145</v>
      </c>
      <c r="P515" s="18" t="n">
        <v>0.026145</v>
      </c>
    </row>
    <row r="516" customFormat="false" ht="13.8" hidden="true" customHeight="false" outlineLevel="1" collapsed="false">
      <c r="B516" s="15" t="s">
        <v>25</v>
      </c>
      <c r="C516" s="26" t="n">
        <f aca="false">E515+1</f>
        <v>57285</v>
      </c>
      <c r="E516" s="26" t="n">
        <f aca="false">EOMONTH(C516,0)</f>
        <v>57314</v>
      </c>
      <c r="G516" s="15" t="s">
        <v>33</v>
      </c>
      <c r="H516" s="130"/>
      <c r="I516" s="89" t="n">
        <v>0.026145</v>
      </c>
      <c r="J516" s="89" t="n">
        <v>0.026145</v>
      </c>
      <c r="M516" s="15" t="s">
        <v>33</v>
      </c>
      <c r="N516" s="18" t="n">
        <v>0</v>
      </c>
      <c r="O516" s="18" t="n">
        <v>0.026145</v>
      </c>
      <c r="P516" s="18" t="n">
        <v>0.026145</v>
      </c>
    </row>
    <row r="517" customFormat="false" ht="13.8" hidden="true" customHeight="false" outlineLevel="1" collapsed="false">
      <c r="B517" s="15" t="s">
        <v>25</v>
      </c>
      <c r="C517" s="26" t="n">
        <f aca="false">E516+1</f>
        <v>57315</v>
      </c>
      <c r="E517" s="26" t="n">
        <f aca="false">EOMONTH(C517,0)</f>
        <v>57345</v>
      </c>
      <c r="G517" s="15" t="s">
        <v>33</v>
      </c>
      <c r="H517" s="130"/>
      <c r="I517" s="89" t="n">
        <v>0.026145</v>
      </c>
      <c r="J517" s="89" t="n">
        <v>0.026145</v>
      </c>
      <c r="M517" s="15" t="s">
        <v>33</v>
      </c>
      <c r="N517" s="18" t="n">
        <v>0</v>
      </c>
      <c r="O517" s="18" t="n">
        <v>0.026145</v>
      </c>
      <c r="P517" s="18" t="n">
        <v>0.026145</v>
      </c>
    </row>
    <row r="518" customFormat="false" ht="13.8" hidden="true" customHeight="false" outlineLevel="1" collapsed="false">
      <c r="B518" s="15" t="s">
        <v>25</v>
      </c>
      <c r="C518" s="26" t="n">
        <f aca="false">E517+1</f>
        <v>57346</v>
      </c>
      <c r="E518" s="26" t="n">
        <f aca="false">EOMONTH(C518,0)</f>
        <v>57376</v>
      </c>
      <c r="G518" s="15" t="s">
        <v>33</v>
      </c>
      <c r="H518" s="130"/>
      <c r="I518" s="89" t="n">
        <v>0.026145</v>
      </c>
      <c r="J518" s="89" t="n">
        <v>0.026145</v>
      </c>
      <c r="M518" s="15" t="s">
        <v>33</v>
      </c>
      <c r="N518" s="18" t="n">
        <v>0</v>
      </c>
      <c r="O518" s="18" t="n">
        <v>0.026145</v>
      </c>
      <c r="P518" s="18" t="n">
        <v>0.026145</v>
      </c>
    </row>
    <row r="519" customFormat="false" ht="13.8" hidden="true" customHeight="false" outlineLevel="1" collapsed="false">
      <c r="B519" s="15" t="s">
        <v>25</v>
      </c>
      <c r="C519" s="26" t="n">
        <f aca="false">E518+1</f>
        <v>57377</v>
      </c>
      <c r="E519" s="26" t="n">
        <f aca="false">EOMONTH(C519,0)</f>
        <v>57404</v>
      </c>
      <c r="G519" s="15" t="s">
        <v>33</v>
      </c>
      <c r="H519" s="130"/>
      <c r="I519" s="89" t="n">
        <v>0.026145</v>
      </c>
      <c r="J519" s="89" t="n">
        <v>0.026145</v>
      </c>
      <c r="M519" s="15" t="s">
        <v>33</v>
      </c>
      <c r="N519" s="18" t="n">
        <v>0</v>
      </c>
      <c r="O519" s="18" t="n">
        <v>0.026145</v>
      </c>
      <c r="P519" s="18" t="n">
        <v>0.026145</v>
      </c>
    </row>
    <row r="520" customFormat="false" ht="13.8" hidden="true" customHeight="false" outlineLevel="1" collapsed="false">
      <c r="B520" s="15" t="s">
        <v>25</v>
      </c>
      <c r="C520" s="26" t="n">
        <f aca="false">E519+1</f>
        <v>57405</v>
      </c>
      <c r="E520" s="26" t="n">
        <f aca="false">EOMONTH(C520,0)</f>
        <v>57435</v>
      </c>
      <c r="G520" s="15" t="s">
        <v>33</v>
      </c>
      <c r="H520" s="130"/>
      <c r="I520" s="89" t="n">
        <v>0.026145</v>
      </c>
      <c r="J520" s="89" t="n">
        <v>0.026145</v>
      </c>
      <c r="M520" s="15" t="s">
        <v>33</v>
      </c>
      <c r="N520" s="18" t="n">
        <v>0</v>
      </c>
      <c r="O520" s="18" t="n">
        <v>0.026145</v>
      </c>
      <c r="P520" s="18" t="n">
        <v>0.026145</v>
      </c>
    </row>
    <row r="521" customFormat="false" ht="13.8" hidden="true" customHeight="false" outlineLevel="1" collapsed="false">
      <c r="B521" s="15" t="s">
        <v>25</v>
      </c>
      <c r="C521" s="26" t="n">
        <f aca="false">E520+1</f>
        <v>57436</v>
      </c>
      <c r="E521" s="26" t="n">
        <f aca="false">EOMONTH(C521,0)</f>
        <v>57465</v>
      </c>
      <c r="G521" s="15" t="s">
        <v>33</v>
      </c>
      <c r="H521" s="130"/>
      <c r="I521" s="89" t="n">
        <v>0.026145</v>
      </c>
      <c r="J521" s="89" t="n">
        <v>0.026145</v>
      </c>
      <c r="M521" s="15" t="s">
        <v>33</v>
      </c>
      <c r="N521" s="18" t="n">
        <v>0</v>
      </c>
      <c r="O521" s="18" t="n">
        <v>0.026145</v>
      </c>
      <c r="P521" s="18" t="n">
        <v>0.026145</v>
      </c>
    </row>
    <row r="522" customFormat="false" ht="13.8" hidden="true" customHeight="false" outlineLevel="1" collapsed="false">
      <c r="B522" s="15" t="s">
        <v>25</v>
      </c>
      <c r="C522" s="26" t="n">
        <f aca="false">E521+1</f>
        <v>57466</v>
      </c>
      <c r="E522" s="26" t="n">
        <f aca="false">EOMONTH(C522,0)</f>
        <v>57496</v>
      </c>
      <c r="G522" s="15" t="s">
        <v>33</v>
      </c>
      <c r="H522" s="130"/>
      <c r="I522" s="89" t="n">
        <v>0.026145</v>
      </c>
      <c r="J522" s="89" t="n">
        <v>0.026145</v>
      </c>
      <c r="M522" s="15" t="s">
        <v>33</v>
      </c>
      <c r="N522" s="18" t="n">
        <v>0</v>
      </c>
      <c r="O522" s="18" t="n">
        <v>0.026145</v>
      </c>
      <c r="P522" s="18" t="n">
        <v>0.026145</v>
      </c>
    </row>
    <row r="523" customFormat="false" ht="13.8" hidden="true" customHeight="false" outlineLevel="1" collapsed="false">
      <c r="B523" s="15" t="s">
        <v>25</v>
      </c>
      <c r="C523" s="26" t="n">
        <f aca="false">E522+1</f>
        <v>57497</v>
      </c>
      <c r="E523" s="26" t="n">
        <f aca="false">EOMONTH(C523,0)</f>
        <v>57526</v>
      </c>
      <c r="G523" s="15" t="s">
        <v>33</v>
      </c>
      <c r="H523" s="130"/>
      <c r="I523" s="89" t="n">
        <v>0.026145</v>
      </c>
      <c r="J523" s="89" t="n">
        <v>0.026145</v>
      </c>
      <c r="M523" s="15" t="s">
        <v>33</v>
      </c>
      <c r="N523" s="18" t="n">
        <v>0</v>
      </c>
      <c r="O523" s="18" t="n">
        <v>0.026145</v>
      </c>
      <c r="P523" s="18" t="n">
        <v>0.026145</v>
      </c>
    </row>
    <row r="524" customFormat="false" ht="13.8" hidden="true" customHeight="false" outlineLevel="1" collapsed="false">
      <c r="B524" s="15" t="s">
        <v>25</v>
      </c>
      <c r="C524" s="26" t="n">
        <f aca="false">E523+1</f>
        <v>57527</v>
      </c>
      <c r="E524" s="26" t="n">
        <f aca="false">EOMONTH(C524,0)</f>
        <v>57557</v>
      </c>
      <c r="G524" s="15" t="s">
        <v>33</v>
      </c>
      <c r="H524" s="130"/>
      <c r="I524" s="89" t="n">
        <v>0.026145</v>
      </c>
      <c r="J524" s="89" t="n">
        <v>0.026145</v>
      </c>
      <c r="M524" s="15" t="s">
        <v>33</v>
      </c>
      <c r="N524" s="18" t="n">
        <v>0</v>
      </c>
      <c r="O524" s="18" t="n">
        <v>0.026145</v>
      </c>
      <c r="P524" s="18" t="n">
        <v>0.026145</v>
      </c>
    </row>
    <row r="525" customFormat="false" ht="13.8" hidden="true" customHeight="false" outlineLevel="1" collapsed="false">
      <c r="B525" s="15" t="s">
        <v>25</v>
      </c>
      <c r="C525" s="26" t="n">
        <f aca="false">E524+1</f>
        <v>57558</v>
      </c>
      <c r="E525" s="26" t="n">
        <f aca="false">EOMONTH(C525,0)</f>
        <v>57588</v>
      </c>
      <c r="G525" s="15" t="s">
        <v>33</v>
      </c>
      <c r="H525" s="130"/>
      <c r="I525" s="89" t="n">
        <v>0.026145</v>
      </c>
      <c r="J525" s="89" t="n">
        <v>0.026145</v>
      </c>
      <c r="M525" s="15" t="s">
        <v>33</v>
      </c>
      <c r="N525" s="18" t="n">
        <v>0</v>
      </c>
      <c r="O525" s="18" t="n">
        <v>0.026145</v>
      </c>
      <c r="P525" s="18" t="n">
        <v>0.026145</v>
      </c>
    </row>
    <row r="526" customFormat="false" ht="13.8" hidden="true" customHeight="false" outlineLevel="1" collapsed="false">
      <c r="B526" s="15" t="s">
        <v>25</v>
      </c>
      <c r="C526" s="26" t="n">
        <f aca="false">E525+1</f>
        <v>57589</v>
      </c>
      <c r="E526" s="26" t="n">
        <f aca="false">EOMONTH(C526,0)</f>
        <v>57618</v>
      </c>
      <c r="G526" s="15" t="s">
        <v>33</v>
      </c>
      <c r="H526" s="130"/>
      <c r="I526" s="89" t="n">
        <v>0.026145</v>
      </c>
      <c r="J526" s="89" t="n">
        <v>0.026145</v>
      </c>
      <c r="M526" s="15" t="s">
        <v>33</v>
      </c>
      <c r="N526" s="18" t="n">
        <v>0</v>
      </c>
      <c r="O526" s="18" t="n">
        <v>0.026145</v>
      </c>
      <c r="P526" s="18" t="n">
        <v>0.026145</v>
      </c>
    </row>
    <row r="527" customFormat="false" ht="13.8" hidden="true" customHeight="false" outlineLevel="1" collapsed="false">
      <c r="B527" s="15" t="s">
        <v>25</v>
      </c>
      <c r="C527" s="26" t="n">
        <f aca="false">E526+1</f>
        <v>57619</v>
      </c>
      <c r="E527" s="26" t="n">
        <f aca="false">EOMONTH(C527,0)</f>
        <v>57649</v>
      </c>
      <c r="G527" s="15" t="s">
        <v>33</v>
      </c>
      <c r="H527" s="130"/>
      <c r="I527" s="89" t="n">
        <v>0.026145</v>
      </c>
      <c r="J527" s="89" t="n">
        <v>0.026145</v>
      </c>
      <c r="M527" s="15" t="s">
        <v>33</v>
      </c>
      <c r="N527" s="18" t="n">
        <v>0</v>
      </c>
      <c r="O527" s="18" t="n">
        <v>0.026145</v>
      </c>
      <c r="P527" s="18" t="n">
        <v>0.026145</v>
      </c>
    </row>
    <row r="528" customFormat="false" ht="13.8" hidden="true" customHeight="false" outlineLevel="1" collapsed="false">
      <c r="B528" s="15" t="s">
        <v>25</v>
      </c>
      <c r="C528" s="26" t="n">
        <f aca="false">E527+1</f>
        <v>57650</v>
      </c>
      <c r="E528" s="26" t="n">
        <f aca="false">EOMONTH(C528,0)</f>
        <v>57679</v>
      </c>
      <c r="G528" s="15" t="s">
        <v>33</v>
      </c>
      <c r="H528" s="130"/>
      <c r="I528" s="89" t="n">
        <v>0.026145</v>
      </c>
      <c r="J528" s="89" t="n">
        <v>0.026145</v>
      </c>
      <c r="M528" s="15" t="s">
        <v>33</v>
      </c>
      <c r="N528" s="18" t="n">
        <v>0</v>
      </c>
      <c r="O528" s="18" t="n">
        <v>0.026145</v>
      </c>
      <c r="P528" s="18" t="n">
        <v>0.026145</v>
      </c>
    </row>
    <row r="529" customFormat="false" ht="13.8" hidden="true" customHeight="false" outlineLevel="1" collapsed="false">
      <c r="B529" s="15" t="s">
        <v>25</v>
      </c>
      <c r="C529" s="26" t="n">
        <f aca="false">E528+1</f>
        <v>57680</v>
      </c>
      <c r="E529" s="26" t="n">
        <f aca="false">EOMONTH(C529,0)</f>
        <v>57710</v>
      </c>
      <c r="G529" s="15" t="s">
        <v>33</v>
      </c>
      <c r="H529" s="130"/>
      <c r="I529" s="89" t="n">
        <v>0.026145</v>
      </c>
      <c r="J529" s="89" t="n">
        <v>0.026145</v>
      </c>
      <c r="M529" s="15" t="s">
        <v>33</v>
      </c>
      <c r="N529" s="18" t="n">
        <v>0</v>
      </c>
      <c r="O529" s="18" t="n">
        <v>0.026145</v>
      </c>
      <c r="P529" s="18" t="n">
        <v>0.026145</v>
      </c>
    </row>
    <row r="530" customFormat="false" ht="13.8" hidden="true" customHeight="false" outlineLevel="1" collapsed="false">
      <c r="B530" s="15" t="s">
        <v>25</v>
      </c>
      <c r="C530" s="26" t="n">
        <f aca="false">E529+1</f>
        <v>57711</v>
      </c>
      <c r="E530" s="26" t="n">
        <f aca="false">EOMONTH(C530,0)</f>
        <v>57741</v>
      </c>
      <c r="G530" s="15" t="s">
        <v>33</v>
      </c>
      <c r="H530" s="130"/>
      <c r="I530" s="89" t="n">
        <v>0.026145</v>
      </c>
      <c r="J530" s="89" t="n">
        <v>0.026145</v>
      </c>
      <c r="M530" s="15" t="s">
        <v>33</v>
      </c>
      <c r="N530" s="18" t="n">
        <v>0</v>
      </c>
      <c r="O530" s="18" t="n">
        <v>0.026145</v>
      </c>
      <c r="P530" s="18" t="n">
        <v>0.026145</v>
      </c>
    </row>
    <row r="531" customFormat="false" ht="13.8" hidden="true" customHeight="false" outlineLevel="1" collapsed="false">
      <c r="B531" s="15" t="s">
        <v>25</v>
      </c>
      <c r="C531" s="26" t="n">
        <f aca="false">E530+1</f>
        <v>57742</v>
      </c>
      <c r="E531" s="26" t="n">
        <f aca="false">EOMONTH(C531,0)</f>
        <v>57769</v>
      </c>
      <c r="G531" s="15" t="s">
        <v>33</v>
      </c>
      <c r="H531" s="130"/>
      <c r="I531" s="89" t="n">
        <v>0.026145</v>
      </c>
      <c r="J531" s="89" t="n">
        <v>0.026145</v>
      </c>
      <c r="M531" s="15" t="s">
        <v>33</v>
      </c>
      <c r="N531" s="18" t="n">
        <v>0</v>
      </c>
      <c r="O531" s="18" t="n">
        <v>0.026145</v>
      </c>
      <c r="P531" s="18" t="n">
        <v>0.026145</v>
      </c>
    </row>
    <row r="532" customFormat="false" ht="13.8" hidden="true" customHeight="false" outlineLevel="1" collapsed="false">
      <c r="B532" s="15" t="s">
        <v>25</v>
      </c>
      <c r="C532" s="26" t="n">
        <f aca="false">E531+1</f>
        <v>57770</v>
      </c>
      <c r="E532" s="26" t="n">
        <f aca="false">EOMONTH(C532,0)</f>
        <v>57800</v>
      </c>
      <c r="G532" s="15" t="s">
        <v>33</v>
      </c>
      <c r="H532" s="130"/>
      <c r="I532" s="89" t="n">
        <v>0.026145</v>
      </c>
      <c r="J532" s="89" t="n">
        <v>0.026145</v>
      </c>
      <c r="M532" s="15" t="s">
        <v>33</v>
      </c>
      <c r="N532" s="18" t="n">
        <v>0</v>
      </c>
      <c r="O532" s="18" t="n">
        <v>0.026145</v>
      </c>
      <c r="P532" s="18" t="n">
        <v>0.026145</v>
      </c>
    </row>
    <row r="533" customFormat="false" ht="13.8" hidden="true" customHeight="false" outlineLevel="1" collapsed="false">
      <c r="B533" s="15" t="s">
        <v>25</v>
      </c>
      <c r="C533" s="26" t="n">
        <f aca="false">E532+1</f>
        <v>57801</v>
      </c>
      <c r="E533" s="26" t="n">
        <f aca="false">EOMONTH(C533,0)</f>
        <v>57830</v>
      </c>
      <c r="G533" s="15" t="s">
        <v>33</v>
      </c>
      <c r="H533" s="130"/>
      <c r="I533" s="89" t="n">
        <v>0.026145</v>
      </c>
      <c r="J533" s="89" t="n">
        <v>0.026145</v>
      </c>
      <c r="M533" s="15" t="s">
        <v>33</v>
      </c>
      <c r="N533" s="18" t="n">
        <v>0</v>
      </c>
      <c r="O533" s="18" t="n">
        <v>0.026145</v>
      </c>
      <c r="P533" s="18" t="n">
        <v>0.026145</v>
      </c>
    </row>
    <row r="534" customFormat="false" ht="13.8" hidden="true" customHeight="false" outlineLevel="1" collapsed="false">
      <c r="B534" s="15" t="s">
        <v>25</v>
      </c>
      <c r="C534" s="26" t="n">
        <f aca="false">E533+1</f>
        <v>57831</v>
      </c>
      <c r="E534" s="26" t="n">
        <f aca="false">EOMONTH(C534,0)</f>
        <v>57861</v>
      </c>
      <c r="G534" s="15" t="s">
        <v>33</v>
      </c>
      <c r="H534" s="130"/>
      <c r="I534" s="89" t="n">
        <v>0.026145</v>
      </c>
      <c r="J534" s="89" t="n">
        <v>0.026145</v>
      </c>
      <c r="M534" s="15" t="s">
        <v>33</v>
      </c>
      <c r="N534" s="18" t="n">
        <v>0</v>
      </c>
      <c r="O534" s="18" t="n">
        <v>0.026145</v>
      </c>
      <c r="P534" s="18" t="n">
        <v>0.026145</v>
      </c>
    </row>
    <row r="535" customFormat="false" ht="13.8" hidden="true" customHeight="false" outlineLevel="1" collapsed="false">
      <c r="B535" s="15" t="s">
        <v>25</v>
      </c>
      <c r="C535" s="26" t="n">
        <f aca="false">E534+1</f>
        <v>57862</v>
      </c>
      <c r="E535" s="26" t="n">
        <f aca="false">EOMONTH(C535,0)</f>
        <v>57891</v>
      </c>
      <c r="G535" s="15" t="s">
        <v>33</v>
      </c>
      <c r="H535" s="130"/>
      <c r="I535" s="89" t="n">
        <v>0.026145</v>
      </c>
      <c r="J535" s="89" t="n">
        <v>0.026145</v>
      </c>
      <c r="M535" s="15" t="s">
        <v>33</v>
      </c>
      <c r="N535" s="18" t="n">
        <v>0</v>
      </c>
      <c r="O535" s="18" t="n">
        <v>0.026145</v>
      </c>
      <c r="P535" s="18" t="n">
        <v>0.026145</v>
      </c>
    </row>
    <row r="536" customFormat="false" ht="13.8" hidden="true" customHeight="false" outlineLevel="1" collapsed="false">
      <c r="B536" s="15" t="s">
        <v>25</v>
      </c>
      <c r="C536" s="26" t="n">
        <f aca="false">E535+1</f>
        <v>57892</v>
      </c>
      <c r="E536" s="26" t="n">
        <f aca="false">EOMONTH(C536,0)</f>
        <v>57922</v>
      </c>
      <c r="G536" s="15" t="s">
        <v>33</v>
      </c>
      <c r="H536" s="130"/>
      <c r="I536" s="89" t="n">
        <v>0.026145</v>
      </c>
      <c r="J536" s="89" t="n">
        <v>0.026145</v>
      </c>
      <c r="M536" s="15" t="s">
        <v>33</v>
      </c>
      <c r="N536" s="18" t="n">
        <v>0</v>
      </c>
      <c r="O536" s="18" t="n">
        <v>0.026145</v>
      </c>
      <c r="P536" s="18" t="n">
        <v>0.026145</v>
      </c>
    </row>
    <row r="537" customFormat="false" ht="13.8" hidden="true" customHeight="false" outlineLevel="1" collapsed="false">
      <c r="B537" s="15" t="s">
        <v>25</v>
      </c>
      <c r="C537" s="26" t="n">
        <f aca="false">E536+1</f>
        <v>57923</v>
      </c>
      <c r="E537" s="26" t="n">
        <f aca="false">EOMONTH(C537,0)</f>
        <v>57953</v>
      </c>
      <c r="G537" s="15" t="s">
        <v>33</v>
      </c>
      <c r="H537" s="130"/>
      <c r="I537" s="89" t="n">
        <v>0.026145</v>
      </c>
      <c r="J537" s="89" t="n">
        <v>0.026145</v>
      </c>
      <c r="M537" s="15" t="s">
        <v>33</v>
      </c>
      <c r="N537" s="18" t="n">
        <v>0</v>
      </c>
      <c r="O537" s="18" t="n">
        <v>0.026145</v>
      </c>
      <c r="P537" s="18" t="n">
        <v>0.026145</v>
      </c>
    </row>
    <row r="538" customFormat="false" ht="13.8" hidden="true" customHeight="false" outlineLevel="1" collapsed="false">
      <c r="B538" s="15" t="s">
        <v>25</v>
      </c>
      <c r="C538" s="26" t="n">
        <f aca="false">E537+1</f>
        <v>57954</v>
      </c>
      <c r="E538" s="26" t="n">
        <f aca="false">EOMONTH(C538,0)</f>
        <v>57983</v>
      </c>
      <c r="G538" s="15" t="s">
        <v>33</v>
      </c>
      <c r="H538" s="130"/>
      <c r="I538" s="89" t="n">
        <v>0.026145</v>
      </c>
      <c r="J538" s="89" t="n">
        <v>0.026145</v>
      </c>
      <c r="M538" s="15" t="s">
        <v>33</v>
      </c>
      <c r="N538" s="18" t="n">
        <v>0</v>
      </c>
      <c r="O538" s="18" t="n">
        <v>0.026145</v>
      </c>
      <c r="P538" s="18" t="n">
        <v>0.026145</v>
      </c>
    </row>
    <row r="539" customFormat="false" ht="13.8" hidden="true" customHeight="false" outlineLevel="1" collapsed="false">
      <c r="B539" s="15" t="s">
        <v>25</v>
      </c>
      <c r="C539" s="26" t="n">
        <f aca="false">E538+1</f>
        <v>57984</v>
      </c>
      <c r="E539" s="26" t="n">
        <f aca="false">EOMONTH(C539,0)</f>
        <v>58014</v>
      </c>
      <c r="G539" s="15" t="s">
        <v>33</v>
      </c>
      <c r="H539" s="130"/>
      <c r="I539" s="89" t="n">
        <v>0.026145</v>
      </c>
      <c r="J539" s="89" t="n">
        <v>0.026145</v>
      </c>
      <c r="M539" s="15" t="s">
        <v>33</v>
      </c>
      <c r="N539" s="18" t="n">
        <v>0</v>
      </c>
      <c r="O539" s="18" t="n">
        <v>0.026145</v>
      </c>
      <c r="P539" s="18" t="n">
        <v>0.026145</v>
      </c>
    </row>
    <row r="540" customFormat="false" ht="13.8" hidden="true" customHeight="false" outlineLevel="1" collapsed="false">
      <c r="B540" s="15" t="s">
        <v>25</v>
      </c>
      <c r="C540" s="26" t="n">
        <f aca="false">E539+1</f>
        <v>58015</v>
      </c>
      <c r="E540" s="26" t="n">
        <f aca="false">EOMONTH(C540,0)</f>
        <v>58044</v>
      </c>
      <c r="G540" s="15" t="s">
        <v>33</v>
      </c>
      <c r="H540" s="130"/>
      <c r="I540" s="89" t="n">
        <v>0.026145</v>
      </c>
      <c r="J540" s="89" t="n">
        <v>0.026145</v>
      </c>
      <c r="M540" s="15" t="s">
        <v>33</v>
      </c>
      <c r="N540" s="18" t="n">
        <v>0</v>
      </c>
      <c r="O540" s="18" t="n">
        <v>0.026145</v>
      </c>
      <c r="P540" s="18" t="n">
        <v>0.026145</v>
      </c>
    </row>
    <row r="541" customFormat="false" ht="13.8" hidden="true" customHeight="false" outlineLevel="1" collapsed="false">
      <c r="B541" s="15" t="s">
        <v>25</v>
      </c>
      <c r="C541" s="26" t="n">
        <f aca="false">E540+1</f>
        <v>58045</v>
      </c>
      <c r="E541" s="26" t="n">
        <f aca="false">EOMONTH(C541,0)</f>
        <v>58075</v>
      </c>
      <c r="G541" s="15" t="s">
        <v>33</v>
      </c>
      <c r="H541" s="130"/>
      <c r="I541" s="89" t="n">
        <v>0.026145</v>
      </c>
      <c r="J541" s="89" t="n">
        <v>0.026145</v>
      </c>
      <c r="M541" s="15" t="s">
        <v>33</v>
      </c>
      <c r="N541" s="18" t="n">
        <v>0</v>
      </c>
      <c r="O541" s="18" t="n">
        <v>0.026145</v>
      </c>
      <c r="P541" s="18" t="n">
        <v>0.026145</v>
      </c>
    </row>
    <row r="542" customFormat="false" ht="13.8" hidden="true" customHeight="false" outlineLevel="1" collapsed="false">
      <c r="B542" s="15" t="s">
        <v>25</v>
      </c>
      <c r="C542" s="26" t="n">
        <f aca="false">E541+1</f>
        <v>58076</v>
      </c>
      <c r="E542" s="26" t="n">
        <f aca="false">EOMONTH(C542,0)</f>
        <v>58106</v>
      </c>
      <c r="G542" s="15" t="s">
        <v>33</v>
      </c>
      <c r="H542" s="130"/>
      <c r="I542" s="89" t="n">
        <v>0.026145</v>
      </c>
      <c r="J542" s="89" t="n">
        <v>0.026145</v>
      </c>
      <c r="M542" s="15" t="s">
        <v>33</v>
      </c>
      <c r="N542" s="18" t="n">
        <v>0</v>
      </c>
      <c r="O542" s="18" t="n">
        <v>0.026145</v>
      </c>
      <c r="P542" s="18" t="n">
        <v>0.026145</v>
      </c>
    </row>
    <row r="543" customFormat="false" ht="13.8" hidden="true" customHeight="false" outlineLevel="1" collapsed="false">
      <c r="B543" s="15" t="s">
        <v>25</v>
      </c>
      <c r="C543" s="26" t="n">
        <f aca="false">E542+1</f>
        <v>58107</v>
      </c>
      <c r="E543" s="26" t="n">
        <f aca="false">EOMONTH(C543,0)</f>
        <v>58134</v>
      </c>
      <c r="G543" s="15" t="s">
        <v>33</v>
      </c>
      <c r="H543" s="130"/>
      <c r="I543" s="89" t="n">
        <v>0.026145</v>
      </c>
      <c r="J543" s="89" t="n">
        <v>0.026145</v>
      </c>
      <c r="M543" s="15" t="s">
        <v>33</v>
      </c>
      <c r="N543" s="18" t="n">
        <v>0</v>
      </c>
      <c r="O543" s="18" t="n">
        <v>0.026145</v>
      </c>
      <c r="P543" s="18" t="n">
        <v>0.026145</v>
      </c>
    </row>
    <row r="544" customFormat="false" ht="13.8" hidden="true" customHeight="false" outlineLevel="1" collapsed="false">
      <c r="B544" s="15" t="s">
        <v>25</v>
      </c>
      <c r="C544" s="26" t="n">
        <f aca="false">E543+1</f>
        <v>58135</v>
      </c>
      <c r="E544" s="26" t="n">
        <f aca="false">EOMONTH(C544,0)</f>
        <v>58165</v>
      </c>
      <c r="G544" s="15" t="s">
        <v>33</v>
      </c>
      <c r="H544" s="130"/>
      <c r="I544" s="89" t="n">
        <v>0.026145</v>
      </c>
      <c r="J544" s="89" t="n">
        <v>0.026145</v>
      </c>
      <c r="M544" s="15" t="s">
        <v>33</v>
      </c>
      <c r="N544" s="18" t="n">
        <v>0</v>
      </c>
      <c r="O544" s="18" t="n">
        <v>0.026145</v>
      </c>
      <c r="P544" s="18" t="n">
        <v>0.026145</v>
      </c>
    </row>
    <row r="545" customFormat="false" ht="13.8" hidden="true" customHeight="false" outlineLevel="1" collapsed="false">
      <c r="B545" s="15" t="s">
        <v>25</v>
      </c>
      <c r="C545" s="26" t="n">
        <f aca="false">E544+1</f>
        <v>58166</v>
      </c>
      <c r="E545" s="26" t="n">
        <f aca="false">EOMONTH(C545,0)</f>
        <v>58195</v>
      </c>
      <c r="G545" s="15" t="s">
        <v>33</v>
      </c>
      <c r="H545" s="130"/>
      <c r="I545" s="89" t="n">
        <v>0.026145</v>
      </c>
      <c r="J545" s="89" t="n">
        <v>0.026145</v>
      </c>
      <c r="M545" s="15" t="s">
        <v>33</v>
      </c>
      <c r="N545" s="18" t="n">
        <v>0</v>
      </c>
      <c r="O545" s="18" t="n">
        <v>0.026145</v>
      </c>
      <c r="P545" s="18" t="n">
        <v>0.026145</v>
      </c>
    </row>
    <row r="546" customFormat="false" ht="13.8" hidden="true" customHeight="false" outlineLevel="1" collapsed="false">
      <c r="B546" s="15" t="s">
        <v>25</v>
      </c>
      <c r="C546" s="26" t="n">
        <f aca="false">E545+1</f>
        <v>58196</v>
      </c>
      <c r="E546" s="26" t="n">
        <f aca="false">EOMONTH(C546,0)</f>
        <v>58226</v>
      </c>
      <c r="G546" s="15" t="s">
        <v>33</v>
      </c>
      <c r="H546" s="130"/>
      <c r="I546" s="89" t="n">
        <v>0.026145</v>
      </c>
      <c r="J546" s="89" t="n">
        <v>0.026145</v>
      </c>
      <c r="M546" s="15" t="s">
        <v>33</v>
      </c>
      <c r="N546" s="18" t="n">
        <v>0</v>
      </c>
      <c r="O546" s="18" t="n">
        <v>0.026145</v>
      </c>
      <c r="P546" s="18" t="n">
        <v>0.026145</v>
      </c>
    </row>
    <row r="547" customFormat="false" ht="13.8" hidden="true" customHeight="false" outlineLevel="1" collapsed="false">
      <c r="B547" s="15" t="s">
        <v>25</v>
      </c>
      <c r="C547" s="26" t="n">
        <f aca="false">E546+1</f>
        <v>58227</v>
      </c>
      <c r="E547" s="26" t="n">
        <f aca="false">EOMONTH(C547,0)</f>
        <v>58256</v>
      </c>
      <c r="G547" s="15" t="s">
        <v>33</v>
      </c>
      <c r="H547" s="130"/>
      <c r="I547" s="89" t="n">
        <v>0.026145</v>
      </c>
      <c r="J547" s="89" t="n">
        <v>0.026145</v>
      </c>
      <c r="M547" s="15" t="s">
        <v>33</v>
      </c>
      <c r="N547" s="18" t="n">
        <v>0</v>
      </c>
      <c r="O547" s="18" t="n">
        <v>0.026145</v>
      </c>
      <c r="P547" s="18" t="n">
        <v>0.026145</v>
      </c>
    </row>
    <row r="548" customFormat="false" ht="13.8" hidden="true" customHeight="false" outlineLevel="1" collapsed="false">
      <c r="B548" s="15" t="s">
        <v>25</v>
      </c>
      <c r="C548" s="26" t="n">
        <f aca="false">E547+1</f>
        <v>58257</v>
      </c>
      <c r="E548" s="26" t="n">
        <f aca="false">EOMONTH(C548,0)</f>
        <v>58287</v>
      </c>
      <c r="G548" s="15" t="s">
        <v>33</v>
      </c>
      <c r="H548" s="130"/>
      <c r="I548" s="89" t="n">
        <v>0.026145</v>
      </c>
      <c r="J548" s="89" t="n">
        <v>0.026145</v>
      </c>
      <c r="M548" s="15" t="s">
        <v>33</v>
      </c>
      <c r="N548" s="18" t="n">
        <v>0</v>
      </c>
      <c r="O548" s="18" t="n">
        <v>0.026145</v>
      </c>
      <c r="P548" s="18" t="n">
        <v>0.026145</v>
      </c>
    </row>
    <row r="549" customFormat="false" ht="13.8" hidden="true" customHeight="false" outlineLevel="1" collapsed="false">
      <c r="B549" s="15" t="s">
        <v>25</v>
      </c>
      <c r="C549" s="26" t="n">
        <f aca="false">E548+1</f>
        <v>58288</v>
      </c>
      <c r="E549" s="26" t="n">
        <f aca="false">EOMONTH(C549,0)</f>
        <v>58318</v>
      </c>
      <c r="G549" s="15" t="s">
        <v>33</v>
      </c>
      <c r="H549" s="130"/>
      <c r="I549" s="89" t="n">
        <v>0.026145</v>
      </c>
      <c r="J549" s="89" t="n">
        <v>0.026145</v>
      </c>
      <c r="M549" s="15" t="s">
        <v>33</v>
      </c>
      <c r="N549" s="18" t="n">
        <v>0</v>
      </c>
      <c r="O549" s="18" t="n">
        <v>0.026145</v>
      </c>
      <c r="P549" s="18" t="n">
        <v>0.026145</v>
      </c>
    </row>
    <row r="550" customFormat="false" ht="13.8" hidden="true" customHeight="false" outlineLevel="1" collapsed="false">
      <c r="B550" s="15" t="s">
        <v>25</v>
      </c>
      <c r="C550" s="26" t="n">
        <f aca="false">E549+1</f>
        <v>58319</v>
      </c>
      <c r="E550" s="26" t="n">
        <f aca="false">EOMONTH(C550,0)</f>
        <v>58348</v>
      </c>
      <c r="G550" s="15" t="s">
        <v>33</v>
      </c>
      <c r="H550" s="130"/>
      <c r="I550" s="89" t="n">
        <v>0.026145</v>
      </c>
      <c r="J550" s="89" t="n">
        <v>0.026145</v>
      </c>
      <c r="M550" s="15" t="s">
        <v>33</v>
      </c>
      <c r="N550" s="18" t="n">
        <v>0</v>
      </c>
      <c r="O550" s="18" t="n">
        <v>0.026145</v>
      </c>
      <c r="P550" s="18" t="n">
        <v>0.026145</v>
      </c>
    </row>
    <row r="551" customFormat="false" ht="13.8" hidden="true" customHeight="false" outlineLevel="1" collapsed="false">
      <c r="B551" s="15" t="s">
        <v>25</v>
      </c>
      <c r="C551" s="26" t="n">
        <f aca="false">E550+1</f>
        <v>58349</v>
      </c>
      <c r="E551" s="26" t="n">
        <f aca="false">EOMONTH(C551,0)</f>
        <v>58379</v>
      </c>
      <c r="G551" s="15" t="s">
        <v>33</v>
      </c>
      <c r="H551" s="130"/>
      <c r="I551" s="89" t="n">
        <v>0.026145</v>
      </c>
      <c r="J551" s="89" t="n">
        <v>0.026145</v>
      </c>
      <c r="M551" s="15" t="s">
        <v>33</v>
      </c>
      <c r="N551" s="18" t="n">
        <v>0</v>
      </c>
      <c r="O551" s="18" t="n">
        <v>0.026145</v>
      </c>
      <c r="P551" s="18" t="n">
        <v>0.026145</v>
      </c>
    </row>
    <row r="552" customFormat="false" ht="13.8" hidden="true" customHeight="false" outlineLevel="1" collapsed="false">
      <c r="B552" s="15" t="s">
        <v>25</v>
      </c>
      <c r="C552" s="26" t="n">
        <f aca="false">E551+1</f>
        <v>58380</v>
      </c>
      <c r="E552" s="26" t="n">
        <f aca="false">EOMONTH(C552,0)</f>
        <v>58409</v>
      </c>
      <c r="G552" s="15" t="s">
        <v>33</v>
      </c>
      <c r="H552" s="130"/>
      <c r="I552" s="89" t="n">
        <v>0.026145</v>
      </c>
      <c r="J552" s="89" t="n">
        <v>0.026145</v>
      </c>
      <c r="M552" s="15" t="s">
        <v>33</v>
      </c>
      <c r="N552" s="18" t="n">
        <v>0</v>
      </c>
      <c r="O552" s="18" t="n">
        <v>0.026145</v>
      </c>
      <c r="P552" s="18" t="n">
        <v>0.026145</v>
      </c>
    </row>
    <row r="553" customFormat="false" ht="13.8" hidden="true" customHeight="false" outlineLevel="1" collapsed="false">
      <c r="B553" s="15" t="s">
        <v>25</v>
      </c>
      <c r="C553" s="26" t="n">
        <f aca="false">E552+1</f>
        <v>58410</v>
      </c>
      <c r="E553" s="26" t="n">
        <f aca="false">EOMONTH(C553,0)</f>
        <v>58440</v>
      </c>
      <c r="G553" s="15" t="s">
        <v>33</v>
      </c>
      <c r="H553" s="130"/>
      <c r="I553" s="89" t="n">
        <v>0.026145</v>
      </c>
      <c r="J553" s="89" t="n">
        <v>0.026145</v>
      </c>
      <c r="M553" s="15" t="s">
        <v>33</v>
      </c>
      <c r="N553" s="18" t="n">
        <v>0</v>
      </c>
      <c r="O553" s="18" t="n">
        <v>0.026145</v>
      </c>
      <c r="P553" s="18" t="n">
        <v>0.026145</v>
      </c>
    </row>
    <row r="554" customFormat="false" ht="13.8" hidden="true" customHeight="false" outlineLevel="1" collapsed="false">
      <c r="B554" s="15" t="s">
        <v>25</v>
      </c>
      <c r="C554" s="26" t="n">
        <f aca="false">E553+1</f>
        <v>58441</v>
      </c>
      <c r="E554" s="26" t="n">
        <f aca="false">EOMONTH(C554,0)</f>
        <v>58471</v>
      </c>
      <c r="G554" s="15" t="s">
        <v>33</v>
      </c>
      <c r="H554" s="130"/>
      <c r="I554" s="89" t="n">
        <v>0.026145</v>
      </c>
      <c r="J554" s="89" t="n">
        <v>0.026145</v>
      </c>
      <c r="M554" s="15" t="s">
        <v>33</v>
      </c>
      <c r="N554" s="18" t="n">
        <v>0</v>
      </c>
      <c r="O554" s="18" t="n">
        <v>0.026145</v>
      </c>
      <c r="P554" s="18" t="n">
        <v>0.026145</v>
      </c>
    </row>
    <row r="555" customFormat="false" ht="13.8" hidden="true" customHeight="false" outlineLevel="1" collapsed="false">
      <c r="B555" s="15" t="s">
        <v>25</v>
      </c>
      <c r="C555" s="26" t="n">
        <f aca="false">E554+1</f>
        <v>58472</v>
      </c>
      <c r="E555" s="26" t="n">
        <f aca="false">EOMONTH(C555,0)</f>
        <v>58500</v>
      </c>
      <c r="G555" s="15" t="s">
        <v>33</v>
      </c>
      <c r="H555" s="130"/>
      <c r="I555" s="89" t="n">
        <v>0.026145</v>
      </c>
      <c r="J555" s="89" t="n">
        <v>0.026145</v>
      </c>
      <c r="M555" s="15" t="s">
        <v>33</v>
      </c>
      <c r="N555" s="18" t="n">
        <v>0</v>
      </c>
      <c r="O555" s="18" t="n">
        <v>0.026145</v>
      </c>
      <c r="P555" s="18" t="n">
        <v>0.026145</v>
      </c>
    </row>
    <row r="556" customFormat="false" ht="13.8" hidden="true" customHeight="false" outlineLevel="1" collapsed="false">
      <c r="B556" s="15" t="s">
        <v>25</v>
      </c>
      <c r="C556" s="26" t="n">
        <f aca="false">E555+1</f>
        <v>58501</v>
      </c>
      <c r="E556" s="26" t="n">
        <f aca="false">EOMONTH(C556,0)</f>
        <v>58531</v>
      </c>
      <c r="G556" s="15" t="s">
        <v>33</v>
      </c>
      <c r="H556" s="130"/>
      <c r="I556" s="89" t="n">
        <v>0.026145</v>
      </c>
      <c r="J556" s="89" t="n">
        <v>0.026145</v>
      </c>
      <c r="M556" s="15" t="s">
        <v>33</v>
      </c>
      <c r="N556" s="18" t="n">
        <v>0</v>
      </c>
      <c r="O556" s="18" t="n">
        <v>0.026145</v>
      </c>
      <c r="P556" s="18" t="n">
        <v>0.026145</v>
      </c>
    </row>
    <row r="557" customFormat="false" ht="13.8" hidden="true" customHeight="false" outlineLevel="1" collapsed="false">
      <c r="B557" s="15" t="s">
        <v>25</v>
      </c>
      <c r="C557" s="26" t="n">
        <f aca="false">E556+1</f>
        <v>58532</v>
      </c>
      <c r="E557" s="26" t="n">
        <f aca="false">EOMONTH(C557,0)</f>
        <v>58561</v>
      </c>
      <c r="G557" s="15" t="s">
        <v>33</v>
      </c>
      <c r="H557" s="130"/>
      <c r="I557" s="89" t="n">
        <v>0.026145</v>
      </c>
      <c r="J557" s="89" t="n">
        <v>0.026145</v>
      </c>
      <c r="M557" s="15" t="s">
        <v>33</v>
      </c>
      <c r="N557" s="18" t="n">
        <v>0</v>
      </c>
      <c r="O557" s="18" t="n">
        <v>0.026145</v>
      </c>
      <c r="P557" s="18" t="n">
        <v>0.026145</v>
      </c>
    </row>
    <row r="558" customFormat="false" ht="13.8" hidden="true" customHeight="false" outlineLevel="1" collapsed="false">
      <c r="B558" s="15" t="s">
        <v>25</v>
      </c>
      <c r="C558" s="26" t="n">
        <f aca="false">E557+1</f>
        <v>58562</v>
      </c>
      <c r="E558" s="26" t="n">
        <f aca="false">EOMONTH(C558,0)</f>
        <v>58592</v>
      </c>
      <c r="G558" s="15" t="s">
        <v>33</v>
      </c>
      <c r="H558" s="130"/>
      <c r="I558" s="89" t="n">
        <v>0.026145</v>
      </c>
      <c r="J558" s="89" t="n">
        <v>0.026145</v>
      </c>
      <c r="M558" s="15" t="s">
        <v>33</v>
      </c>
      <c r="N558" s="18" t="n">
        <v>0</v>
      </c>
      <c r="O558" s="18" t="n">
        <v>0.026145</v>
      </c>
      <c r="P558" s="18" t="n">
        <v>0.026145</v>
      </c>
    </row>
    <row r="559" customFormat="false" ht="13.8" hidden="true" customHeight="false" outlineLevel="1" collapsed="false">
      <c r="B559" s="15" t="s">
        <v>25</v>
      </c>
      <c r="C559" s="26" t="n">
        <f aca="false">E558+1</f>
        <v>58593</v>
      </c>
      <c r="E559" s="26" t="n">
        <f aca="false">EOMONTH(C559,0)</f>
        <v>58622</v>
      </c>
      <c r="G559" s="15" t="s">
        <v>33</v>
      </c>
      <c r="H559" s="130"/>
      <c r="I559" s="89" t="n">
        <v>0.026145</v>
      </c>
      <c r="J559" s="89" t="n">
        <v>0.026145</v>
      </c>
      <c r="M559" s="15" t="s">
        <v>33</v>
      </c>
      <c r="N559" s="18" t="n">
        <v>0</v>
      </c>
      <c r="O559" s="18" t="n">
        <v>0.026145</v>
      </c>
      <c r="P559" s="18" t="n">
        <v>0.026145</v>
      </c>
    </row>
    <row r="560" customFormat="false" ht="13.8" hidden="true" customHeight="false" outlineLevel="1" collapsed="false">
      <c r="B560" s="15" t="s">
        <v>25</v>
      </c>
      <c r="C560" s="26" t="n">
        <f aca="false">E559+1</f>
        <v>58623</v>
      </c>
      <c r="E560" s="26" t="n">
        <f aca="false">EOMONTH(C560,0)</f>
        <v>58653</v>
      </c>
      <c r="G560" s="15" t="s">
        <v>33</v>
      </c>
      <c r="H560" s="130"/>
      <c r="I560" s="89" t="n">
        <v>0.026145</v>
      </c>
      <c r="J560" s="89" t="n">
        <v>0.026145</v>
      </c>
      <c r="M560" s="15" t="s">
        <v>33</v>
      </c>
      <c r="N560" s="18" t="n">
        <v>0</v>
      </c>
      <c r="O560" s="18" t="n">
        <v>0.026145</v>
      </c>
      <c r="P560" s="18" t="n">
        <v>0.026145</v>
      </c>
    </row>
    <row r="561" customFormat="false" ht="13.8" hidden="true" customHeight="false" outlineLevel="1" collapsed="false">
      <c r="B561" s="15" t="s">
        <v>25</v>
      </c>
      <c r="C561" s="26" t="n">
        <f aca="false">E560+1</f>
        <v>58654</v>
      </c>
      <c r="E561" s="26" t="n">
        <f aca="false">EOMONTH(C561,0)</f>
        <v>58684</v>
      </c>
      <c r="G561" s="15" t="s">
        <v>33</v>
      </c>
      <c r="H561" s="130"/>
      <c r="I561" s="89" t="n">
        <v>0.026145</v>
      </c>
      <c r="J561" s="89" t="n">
        <v>0.026145</v>
      </c>
      <c r="M561" s="15" t="s">
        <v>33</v>
      </c>
      <c r="N561" s="18" t="n">
        <v>0</v>
      </c>
      <c r="O561" s="18" t="n">
        <v>0.026145</v>
      </c>
      <c r="P561" s="18" t="n">
        <v>0.026145</v>
      </c>
    </row>
    <row r="562" customFormat="false" ht="13.8" hidden="true" customHeight="false" outlineLevel="1" collapsed="false">
      <c r="B562" s="15" t="s">
        <v>25</v>
      </c>
      <c r="C562" s="26" t="n">
        <f aca="false">E561+1</f>
        <v>58685</v>
      </c>
      <c r="E562" s="26" t="n">
        <f aca="false">EOMONTH(C562,0)</f>
        <v>58714</v>
      </c>
      <c r="G562" s="15" t="s">
        <v>33</v>
      </c>
      <c r="H562" s="130"/>
      <c r="I562" s="89" t="n">
        <v>0.026145</v>
      </c>
      <c r="J562" s="89" t="n">
        <v>0.026145</v>
      </c>
      <c r="M562" s="15" t="s">
        <v>33</v>
      </c>
      <c r="N562" s="18" t="n">
        <v>0</v>
      </c>
      <c r="O562" s="18" t="n">
        <v>0.026145</v>
      </c>
      <c r="P562" s="18" t="n">
        <v>0.026145</v>
      </c>
    </row>
    <row r="563" customFormat="false" ht="13.8" hidden="true" customHeight="false" outlineLevel="1" collapsed="false">
      <c r="B563" s="15" t="s">
        <v>25</v>
      </c>
      <c r="C563" s="26" t="n">
        <f aca="false">E562+1</f>
        <v>58715</v>
      </c>
      <c r="E563" s="26" t="n">
        <f aca="false">EOMONTH(C563,0)</f>
        <v>58745</v>
      </c>
      <c r="G563" s="15" t="s">
        <v>33</v>
      </c>
      <c r="H563" s="130"/>
      <c r="I563" s="89" t="n">
        <v>0.026145</v>
      </c>
      <c r="J563" s="89" t="n">
        <v>0.026145</v>
      </c>
      <c r="M563" s="15" t="s">
        <v>33</v>
      </c>
      <c r="N563" s="18" t="n">
        <v>0</v>
      </c>
      <c r="O563" s="18" t="n">
        <v>0.026145</v>
      </c>
      <c r="P563" s="18" t="n">
        <v>0.026145</v>
      </c>
    </row>
    <row r="564" customFormat="false" ht="13.8" hidden="true" customHeight="false" outlineLevel="1" collapsed="false">
      <c r="B564" s="15" t="s">
        <v>25</v>
      </c>
      <c r="C564" s="26" t="n">
        <f aca="false">E563+1</f>
        <v>58746</v>
      </c>
      <c r="E564" s="26" t="n">
        <f aca="false">EOMONTH(C564,0)</f>
        <v>58775</v>
      </c>
      <c r="G564" s="15" t="s">
        <v>33</v>
      </c>
      <c r="H564" s="130"/>
      <c r="I564" s="89" t="n">
        <v>0.026145</v>
      </c>
      <c r="J564" s="89" t="n">
        <v>0.026145</v>
      </c>
      <c r="M564" s="15" t="s">
        <v>33</v>
      </c>
      <c r="N564" s="18" t="n">
        <v>0</v>
      </c>
      <c r="O564" s="18" t="n">
        <v>0.026145</v>
      </c>
      <c r="P564" s="18" t="n">
        <v>0.026145</v>
      </c>
    </row>
    <row r="565" customFormat="false" ht="13.8" hidden="true" customHeight="false" outlineLevel="1" collapsed="false">
      <c r="B565" s="15" t="s">
        <v>25</v>
      </c>
      <c r="C565" s="26" t="n">
        <f aca="false">E564+1</f>
        <v>58776</v>
      </c>
      <c r="E565" s="26" t="n">
        <f aca="false">EOMONTH(C565,0)</f>
        <v>58806</v>
      </c>
      <c r="G565" s="15" t="s">
        <v>33</v>
      </c>
      <c r="H565" s="130"/>
      <c r="I565" s="89" t="n">
        <v>0.026145</v>
      </c>
      <c r="J565" s="89" t="n">
        <v>0.026145</v>
      </c>
      <c r="M565" s="15" t="s">
        <v>33</v>
      </c>
      <c r="N565" s="18" t="n">
        <v>0</v>
      </c>
      <c r="O565" s="18" t="n">
        <v>0.026145</v>
      </c>
      <c r="P565" s="18" t="n">
        <v>0.026145</v>
      </c>
    </row>
    <row r="566" customFormat="false" ht="13.8" hidden="true" customHeight="false" outlineLevel="1" collapsed="false">
      <c r="B566" s="15" t="s">
        <v>25</v>
      </c>
      <c r="C566" s="26" t="n">
        <f aca="false">E565+1</f>
        <v>58807</v>
      </c>
      <c r="E566" s="26" t="n">
        <f aca="false">EOMONTH(C566,0)</f>
        <v>58837</v>
      </c>
      <c r="G566" s="15" t="s">
        <v>33</v>
      </c>
      <c r="H566" s="130"/>
      <c r="I566" s="89" t="n">
        <v>0.026145</v>
      </c>
      <c r="J566" s="89" t="n">
        <v>0.026145</v>
      </c>
      <c r="M566" s="15" t="s">
        <v>33</v>
      </c>
      <c r="N566" s="18" t="n">
        <v>0</v>
      </c>
      <c r="O566" s="18" t="n">
        <v>0.026145</v>
      </c>
      <c r="P566" s="18" t="n">
        <v>0.026145</v>
      </c>
    </row>
    <row r="567" customFormat="false" ht="13.8" hidden="true" customHeight="false" outlineLevel="1" collapsed="false">
      <c r="B567" s="15" t="s">
        <v>25</v>
      </c>
      <c r="C567" s="26" t="n">
        <f aca="false">E566+1</f>
        <v>58838</v>
      </c>
      <c r="E567" s="26" t="n">
        <f aca="false">EOMONTH(C567,0)</f>
        <v>58865</v>
      </c>
      <c r="G567" s="15" t="s">
        <v>33</v>
      </c>
      <c r="H567" s="130"/>
      <c r="I567" s="89" t="n">
        <v>0.026145</v>
      </c>
      <c r="J567" s="89" t="n">
        <v>0.026145</v>
      </c>
      <c r="M567" s="15" t="s">
        <v>33</v>
      </c>
      <c r="N567" s="18" t="n">
        <v>0</v>
      </c>
      <c r="O567" s="18" t="n">
        <v>0.026145</v>
      </c>
      <c r="P567" s="18" t="n">
        <v>0.026145</v>
      </c>
    </row>
    <row r="568" customFormat="false" ht="13.8" hidden="true" customHeight="false" outlineLevel="1" collapsed="false">
      <c r="B568" s="15" t="s">
        <v>25</v>
      </c>
      <c r="C568" s="26" t="n">
        <f aca="false">E567+1</f>
        <v>58866</v>
      </c>
      <c r="E568" s="26" t="n">
        <f aca="false">EOMONTH(C568,0)</f>
        <v>58896</v>
      </c>
      <c r="G568" s="15" t="s">
        <v>33</v>
      </c>
      <c r="H568" s="130"/>
      <c r="I568" s="89" t="n">
        <v>0.026145</v>
      </c>
      <c r="J568" s="89" t="n">
        <v>0.026145</v>
      </c>
      <c r="M568" s="15" t="s">
        <v>33</v>
      </c>
      <c r="N568" s="18" t="n">
        <v>0</v>
      </c>
      <c r="O568" s="18" t="n">
        <v>0.026145</v>
      </c>
      <c r="P568" s="18" t="n">
        <v>0.026145</v>
      </c>
    </row>
    <row r="569" customFormat="false" ht="13.8" hidden="true" customHeight="false" outlineLevel="1" collapsed="false">
      <c r="B569" s="15" t="s">
        <v>25</v>
      </c>
      <c r="C569" s="26" t="n">
        <f aca="false">E568+1</f>
        <v>58897</v>
      </c>
      <c r="E569" s="26" t="n">
        <f aca="false">EOMONTH(C569,0)</f>
        <v>58926</v>
      </c>
      <c r="G569" s="15" t="s">
        <v>33</v>
      </c>
      <c r="H569" s="130"/>
      <c r="I569" s="89" t="n">
        <v>0.026145</v>
      </c>
      <c r="J569" s="89" t="n">
        <v>0.026145</v>
      </c>
      <c r="M569" s="15" t="s">
        <v>33</v>
      </c>
      <c r="N569" s="18" t="n">
        <v>0</v>
      </c>
      <c r="O569" s="18" t="n">
        <v>0.026145</v>
      </c>
      <c r="P569" s="18" t="n">
        <v>0.026145</v>
      </c>
    </row>
    <row r="570" customFormat="false" ht="13.8" hidden="true" customHeight="false" outlineLevel="1" collapsed="false">
      <c r="B570" s="15" t="s">
        <v>25</v>
      </c>
      <c r="C570" s="26" t="n">
        <f aca="false">E569+1</f>
        <v>58927</v>
      </c>
      <c r="E570" s="26" t="n">
        <f aca="false">EOMONTH(C570,0)</f>
        <v>58957</v>
      </c>
      <c r="G570" s="15" t="s">
        <v>33</v>
      </c>
      <c r="H570" s="130"/>
      <c r="I570" s="89" t="n">
        <v>0.026145</v>
      </c>
      <c r="J570" s="89" t="n">
        <v>0.026145</v>
      </c>
      <c r="M570" s="15" t="s">
        <v>33</v>
      </c>
      <c r="N570" s="18" t="n">
        <v>0</v>
      </c>
      <c r="O570" s="18" t="n">
        <v>0.026145</v>
      </c>
      <c r="P570" s="18" t="n">
        <v>0.026145</v>
      </c>
    </row>
    <row r="571" customFormat="false" ht="13.8" hidden="true" customHeight="false" outlineLevel="1" collapsed="false">
      <c r="B571" s="15" t="s">
        <v>25</v>
      </c>
      <c r="C571" s="26" t="n">
        <f aca="false">E570+1</f>
        <v>58958</v>
      </c>
      <c r="E571" s="26" t="n">
        <f aca="false">EOMONTH(C571,0)</f>
        <v>58987</v>
      </c>
      <c r="G571" s="15" t="s">
        <v>33</v>
      </c>
      <c r="H571" s="130"/>
      <c r="I571" s="89" t="n">
        <v>0.026145</v>
      </c>
      <c r="J571" s="89" t="n">
        <v>0.026145</v>
      </c>
      <c r="M571" s="15" t="s">
        <v>33</v>
      </c>
      <c r="N571" s="18" t="n">
        <v>0</v>
      </c>
      <c r="O571" s="18" t="n">
        <v>0.026145</v>
      </c>
      <c r="P571" s="18" t="n">
        <v>0.026145</v>
      </c>
    </row>
    <row r="572" customFormat="false" ht="13.8" hidden="true" customHeight="false" outlineLevel="1" collapsed="false">
      <c r="B572" s="15" t="s">
        <v>25</v>
      </c>
      <c r="C572" s="26" t="n">
        <f aca="false">E571+1</f>
        <v>58988</v>
      </c>
      <c r="E572" s="26" t="n">
        <f aca="false">EOMONTH(C572,0)</f>
        <v>59018</v>
      </c>
      <c r="G572" s="15" t="s">
        <v>33</v>
      </c>
      <c r="H572" s="130"/>
      <c r="I572" s="89" t="n">
        <v>0.026145</v>
      </c>
      <c r="J572" s="89" t="n">
        <v>0.026145</v>
      </c>
      <c r="M572" s="15" t="s">
        <v>33</v>
      </c>
      <c r="N572" s="18" t="n">
        <v>0</v>
      </c>
      <c r="O572" s="18" t="n">
        <v>0.026145</v>
      </c>
      <c r="P572" s="18" t="n">
        <v>0.026145</v>
      </c>
    </row>
    <row r="573" customFormat="false" ht="13.8" hidden="true" customHeight="false" outlineLevel="1" collapsed="false">
      <c r="B573" s="15" t="s">
        <v>25</v>
      </c>
      <c r="C573" s="26" t="n">
        <f aca="false">E572+1</f>
        <v>59019</v>
      </c>
      <c r="E573" s="26" t="n">
        <f aca="false">EOMONTH(C573,0)</f>
        <v>59049</v>
      </c>
      <c r="G573" s="15" t="s">
        <v>33</v>
      </c>
      <c r="H573" s="130"/>
      <c r="I573" s="89" t="n">
        <v>0.026145</v>
      </c>
      <c r="J573" s="89" t="n">
        <v>0.026145</v>
      </c>
      <c r="M573" s="15" t="s">
        <v>33</v>
      </c>
      <c r="N573" s="18" t="n">
        <v>0</v>
      </c>
      <c r="O573" s="18" t="n">
        <v>0.026145</v>
      </c>
      <c r="P573" s="18" t="n">
        <v>0.026145</v>
      </c>
    </row>
    <row r="574" customFormat="false" ht="13.8" hidden="true" customHeight="false" outlineLevel="1" collapsed="false">
      <c r="B574" s="15" t="s">
        <v>25</v>
      </c>
      <c r="C574" s="26" t="n">
        <f aca="false">E573+1</f>
        <v>59050</v>
      </c>
      <c r="E574" s="26" t="n">
        <f aca="false">EOMONTH(C574,0)</f>
        <v>59079</v>
      </c>
      <c r="G574" s="15" t="s">
        <v>33</v>
      </c>
      <c r="H574" s="130"/>
      <c r="I574" s="89" t="n">
        <v>0.026145</v>
      </c>
      <c r="J574" s="89" t="n">
        <v>0.026145</v>
      </c>
      <c r="M574" s="15" t="s">
        <v>33</v>
      </c>
      <c r="N574" s="18" t="n">
        <v>0</v>
      </c>
      <c r="O574" s="18" t="n">
        <v>0.026145</v>
      </c>
      <c r="P574" s="18" t="n">
        <v>0.026145</v>
      </c>
    </row>
    <row r="575" customFormat="false" ht="13.8" hidden="true" customHeight="false" outlineLevel="1" collapsed="false">
      <c r="B575" s="15" t="s">
        <v>25</v>
      </c>
      <c r="C575" s="26" t="n">
        <f aca="false">E574+1</f>
        <v>59080</v>
      </c>
      <c r="E575" s="26" t="n">
        <f aca="false">EOMONTH(C575,0)</f>
        <v>59110</v>
      </c>
      <c r="G575" s="15" t="s">
        <v>33</v>
      </c>
      <c r="H575" s="130"/>
      <c r="I575" s="89" t="n">
        <v>0.026145</v>
      </c>
      <c r="J575" s="89" t="n">
        <v>0.026145</v>
      </c>
      <c r="M575" s="15" t="s">
        <v>33</v>
      </c>
      <c r="N575" s="18" t="n">
        <v>0</v>
      </c>
      <c r="O575" s="18" t="n">
        <v>0.026145</v>
      </c>
      <c r="P575" s="18" t="n">
        <v>0.026145</v>
      </c>
    </row>
    <row r="576" customFormat="false" ht="13.8" hidden="true" customHeight="false" outlineLevel="1" collapsed="false">
      <c r="B576" s="15" t="s">
        <v>25</v>
      </c>
      <c r="C576" s="26" t="n">
        <f aca="false">E575+1</f>
        <v>59111</v>
      </c>
      <c r="E576" s="26" t="n">
        <f aca="false">EOMONTH(C576,0)</f>
        <v>59140</v>
      </c>
      <c r="G576" s="15" t="s">
        <v>33</v>
      </c>
      <c r="H576" s="130"/>
      <c r="I576" s="89" t="n">
        <v>0.026145</v>
      </c>
      <c r="J576" s="89" t="n">
        <v>0.026145</v>
      </c>
      <c r="M576" s="15" t="s">
        <v>33</v>
      </c>
      <c r="N576" s="18" t="n">
        <v>0</v>
      </c>
      <c r="O576" s="18" t="n">
        <v>0.026145</v>
      </c>
      <c r="P576" s="18" t="n">
        <v>0.026145</v>
      </c>
    </row>
    <row r="577" customFormat="false" ht="13.8" hidden="true" customHeight="false" outlineLevel="1" collapsed="false">
      <c r="B577" s="15" t="s">
        <v>25</v>
      </c>
      <c r="C577" s="26" t="n">
        <f aca="false">E576+1</f>
        <v>59141</v>
      </c>
      <c r="E577" s="26" t="n">
        <f aca="false">EOMONTH(C577,0)</f>
        <v>59171</v>
      </c>
      <c r="G577" s="15" t="s">
        <v>33</v>
      </c>
      <c r="H577" s="130"/>
      <c r="I577" s="89" t="n">
        <v>0.026145</v>
      </c>
      <c r="J577" s="89" t="n">
        <v>0.026145</v>
      </c>
      <c r="M577" s="15" t="s">
        <v>33</v>
      </c>
      <c r="N577" s="18" t="n">
        <v>0</v>
      </c>
      <c r="O577" s="18" t="n">
        <v>0.026145</v>
      </c>
      <c r="P577" s="18" t="n">
        <v>0.026145</v>
      </c>
    </row>
    <row r="578" customFormat="false" ht="13.8" hidden="true" customHeight="false" outlineLevel="1" collapsed="false">
      <c r="B578" s="15" t="s">
        <v>25</v>
      </c>
      <c r="C578" s="26" t="n">
        <f aca="false">E577+1</f>
        <v>59172</v>
      </c>
      <c r="E578" s="26" t="n">
        <f aca="false">EOMONTH(C578,0)</f>
        <v>59202</v>
      </c>
      <c r="G578" s="15" t="s">
        <v>33</v>
      </c>
      <c r="H578" s="130"/>
      <c r="I578" s="89" t="n">
        <v>0.026145</v>
      </c>
      <c r="J578" s="89" t="n">
        <v>0.026145</v>
      </c>
      <c r="M578" s="15" t="s">
        <v>33</v>
      </c>
      <c r="N578" s="18" t="n">
        <v>0</v>
      </c>
      <c r="O578" s="18" t="n">
        <v>0.026145</v>
      </c>
      <c r="P578" s="18" t="n">
        <v>0.026145</v>
      </c>
    </row>
    <row r="579" customFormat="false" ht="13.8" hidden="true" customHeight="false" outlineLevel="1" collapsed="false">
      <c r="B579" s="15" t="s">
        <v>25</v>
      </c>
      <c r="C579" s="26" t="n">
        <f aca="false">E578+1</f>
        <v>59203</v>
      </c>
      <c r="E579" s="26" t="n">
        <f aca="false">EOMONTH(C579,0)</f>
        <v>59230</v>
      </c>
      <c r="G579" s="15" t="s">
        <v>33</v>
      </c>
      <c r="H579" s="130"/>
      <c r="I579" s="89" t="n">
        <v>0.026145</v>
      </c>
      <c r="J579" s="89" t="n">
        <v>0.026145</v>
      </c>
      <c r="M579" s="15" t="s">
        <v>33</v>
      </c>
      <c r="N579" s="18" t="n">
        <v>0</v>
      </c>
      <c r="O579" s="18" t="n">
        <v>0.026145</v>
      </c>
      <c r="P579" s="18" t="n">
        <v>0.026145</v>
      </c>
    </row>
    <row r="580" customFormat="false" ht="13.8" hidden="true" customHeight="false" outlineLevel="1" collapsed="false">
      <c r="B580" s="15" t="s">
        <v>25</v>
      </c>
      <c r="C580" s="26" t="n">
        <f aca="false">E579+1</f>
        <v>59231</v>
      </c>
      <c r="E580" s="26" t="n">
        <f aca="false">EOMONTH(C580,0)</f>
        <v>59261</v>
      </c>
      <c r="G580" s="15" t="s">
        <v>33</v>
      </c>
      <c r="H580" s="130"/>
      <c r="I580" s="89" t="n">
        <v>0.026145</v>
      </c>
      <c r="J580" s="89" t="n">
        <v>0.026145</v>
      </c>
      <c r="M580" s="15" t="s">
        <v>33</v>
      </c>
      <c r="N580" s="18" t="n">
        <v>0</v>
      </c>
      <c r="O580" s="18" t="n">
        <v>0.026145</v>
      </c>
      <c r="P580" s="18" t="n">
        <v>0.026145</v>
      </c>
    </row>
    <row r="581" customFormat="false" ht="13.8" hidden="true" customHeight="false" outlineLevel="1" collapsed="false">
      <c r="B581" s="15" t="s">
        <v>25</v>
      </c>
      <c r="C581" s="26" t="n">
        <f aca="false">E580+1</f>
        <v>59262</v>
      </c>
      <c r="E581" s="26" t="n">
        <f aca="false">EOMONTH(C581,0)</f>
        <v>59291</v>
      </c>
      <c r="G581" s="15" t="s">
        <v>33</v>
      </c>
      <c r="H581" s="130"/>
      <c r="I581" s="89" t="n">
        <v>0.026145</v>
      </c>
      <c r="J581" s="89" t="n">
        <v>0.026145</v>
      </c>
      <c r="M581" s="15" t="s">
        <v>33</v>
      </c>
      <c r="N581" s="18" t="n">
        <v>0</v>
      </c>
      <c r="O581" s="18" t="n">
        <v>0.026145</v>
      </c>
      <c r="P581" s="18" t="n">
        <v>0.026145</v>
      </c>
    </row>
    <row r="582" customFormat="false" ht="13.8" hidden="true" customHeight="false" outlineLevel="1" collapsed="false">
      <c r="B582" s="15" t="s">
        <v>25</v>
      </c>
      <c r="C582" s="26" t="n">
        <f aca="false">E581+1</f>
        <v>59292</v>
      </c>
      <c r="E582" s="26" t="n">
        <f aca="false">EOMONTH(C582,0)</f>
        <v>59322</v>
      </c>
      <c r="G582" s="15" t="s">
        <v>33</v>
      </c>
      <c r="H582" s="130"/>
      <c r="I582" s="89" t="n">
        <v>0.026145</v>
      </c>
      <c r="J582" s="89" t="n">
        <v>0.026145</v>
      </c>
      <c r="M582" s="15" t="s">
        <v>33</v>
      </c>
      <c r="N582" s="18" t="n">
        <v>0</v>
      </c>
      <c r="O582" s="18" t="n">
        <v>0.026145</v>
      </c>
      <c r="P582" s="18" t="n">
        <v>0.026145</v>
      </c>
    </row>
    <row r="583" customFormat="false" ht="13.8" hidden="true" customHeight="false" outlineLevel="1" collapsed="false">
      <c r="B583" s="15" t="s">
        <v>25</v>
      </c>
      <c r="C583" s="26" t="n">
        <f aca="false">E582+1</f>
        <v>59323</v>
      </c>
      <c r="E583" s="26" t="n">
        <f aca="false">EOMONTH(C583,0)</f>
        <v>59352</v>
      </c>
      <c r="G583" s="15" t="s">
        <v>33</v>
      </c>
      <c r="H583" s="130"/>
      <c r="I583" s="89" t="n">
        <v>0.026145</v>
      </c>
      <c r="J583" s="89" t="n">
        <v>0.026145</v>
      </c>
      <c r="M583" s="15" t="s">
        <v>33</v>
      </c>
      <c r="N583" s="18" t="n">
        <v>0</v>
      </c>
      <c r="O583" s="18" t="n">
        <v>0.026145</v>
      </c>
      <c r="P583" s="18" t="n">
        <v>0.026145</v>
      </c>
    </row>
    <row r="584" customFormat="false" ht="13.8" hidden="true" customHeight="false" outlineLevel="1" collapsed="false">
      <c r="B584" s="15" t="s">
        <v>25</v>
      </c>
      <c r="C584" s="26" t="n">
        <f aca="false">E583+1</f>
        <v>59353</v>
      </c>
      <c r="E584" s="26" t="n">
        <f aca="false">EOMONTH(C584,0)</f>
        <v>59383</v>
      </c>
      <c r="G584" s="15" t="s">
        <v>33</v>
      </c>
      <c r="H584" s="130"/>
      <c r="I584" s="89" t="n">
        <v>0.026145</v>
      </c>
      <c r="J584" s="89" t="n">
        <v>0.026145</v>
      </c>
      <c r="M584" s="15" t="s">
        <v>33</v>
      </c>
      <c r="N584" s="18" t="n">
        <v>0</v>
      </c>
      <c r="O584" s="18" t="n">
        <v>0.026145</v>
      </c>
      <c r="P584" s="18" t="n">
        <v>0.026145</v>
      </c>
    </row>
    <row r="585" customFormat="false" ht="13.8" hidden="true" customHeight="false" outlineLevel="1" collapsed="false">
      <c r="B585" s="15" t="s">
        <v>25</v>
      </c>
      <c r="C585" s="26" t="n">
        <f aca="false">E584+1</f>
        <v>59384</v>
      </c>
      <c r="E585" s="26" t="n">
        <f aca="false">EOMONTH(C585,0)</f>
        <v>59414</v>
      </c>
      <c r="G585" s="15" t="s">
        <v>33</v>
      </c>
      <c r="H585" s="130"/>
      <c r="I585" s="89" t="n">
        <v>0.026145</v>
      </c>
      <c r="J585" s="89" t="n">
        <v>0.026145</v>
      </c>
      <c r="M585" s="15" t="s">
        <v>33</v>
      </c>
      <c r="N585" s="18" t="n">
        <v>0</v>
      </c>
      <c r="O585" s="18" t="n">
        <v>0.026145</v>
      </c>
      <c r="P585" s="18" t="n">
        <v>0.026145</v>
      </c>
    </row>
    <row r="586" customFormat="false" ht="13.8" hidden="true" customHeight="false" outlineLevel="1" collapsed="false">
      <c r="B586" s="15" t="s">
        <v>25</v>
      </c>
      <c r="C586" s="26" t="n">
        <f aca="false">E585+1</f>
        <v>59415</v>
      </c>
      <c r="E586" s="26" t="n">
        <f aca="false">EOMONTH(C586,0)</f>
        <v>59444</v>
      </c>
      <c r="G586" s="15" t="s">
        <v>33</v>
      </c>
      <c r="H586" s="130"/>
      <c r="I586" s="89" t="n">
        <v>0.026145</v>
      </c>
      <c r="J586" s="89" t="n">
        <v>0.026145</v>
      </c>
      <c r="M586" s="15" t="s">
        <v>33</v>
      </c>
      <c r="N586" s="18" t="n">
        <v>0</v>
      </c>
      <c r="O586" s="18" t="n">
        <v>0.026145</v>
      </c>
      <c r="P586" s="18" t="n">
        <v>0.026145</v>
      </c>
    </row>
    <row r="587" customFormat="false" ht="13.8" hidden="true" customHeight="false" outlineLevel="1" collapsed="false">
      <c r="B587" s="15" t="s">
        <v>25</v>
      </c>
      <c r="C587" s="26" t="n">
        <f aca="false">E586+1</f>
        <v>59445</v>
      </c>
      <c r="E587" s="26" t="n">
        <f aca="false">EOMONTH(C587,0)</f>
        <v>59475</v>
      </c>
      <c r="G587" s="15" t="s">
        <v>33</v>
      </c>
      <c r="H587" s="130"/>
      <c r="I587" s="89" t="n">
        <v>0.026145</v>
      </c>
      <c r="J587" s="89" t="n">
        <v>0.026145</v>
      </c>
      <c r="M587" s="15" t="s">
        <v>33</v>
      </c>
      <c r="N587" s="18" t="n">
        <v>0</v>
      </c>
      <c r="O587" s="18" t="n">
        <v>0.026145</v>
      </c>
      <c r="P587" s="18" t="n">
        <v>0.026145</v>
      </c>
    </row>
    <row r="588" customFormat="false" ht="13.8" hidden="true" customHeight="false" outlineLevel="1" collapsed="false">
      <c r="B588" s="15" t="s">
        <v>25</v>
      </c>
      <c r="C588" s="26" t="n">
        <f aca="false">E587+1</f>
        <v>59476</v>
      </c>
      <c r="E588" s="26" t="n">
        <f aca="false">EOMONTH(C588,0)</f>
        <v>59505</v>
      </c>
      <c r="G588" s="15" t="s">
        <v>33</v>
      </c>
      <c r="H588" s="130"/>
      <c r="I588" s="89" t="n">
        <v>0.026145</v>
      </c>
      <c r="J588" s="89" t="n">
        <v>0.026145</v>
      </c>
      <c r="M588" s="15" t="s">
        <v>33</v>
      </c>
      <c r="N588" s="18" t="n">
        <v>0</v>
      </c>
      <c r="O588" s="18" t="n">
        <v>0.026145</v>
      </c>
      <c r="P588" s="18" t="n">
        <v>0.026145</v>
      </c>
    </row>
    <row r="589" customFormat="false" ht="13.8" hidden="true" customHeight="false" outlineLevel="1" collapsed="false">
      <c r="B589" s="15" t="s">
        <v>25</v>
      </c>
      <c r="C589" s="26" t="n">
        <f aca="false">E588+1</f>
        <v>59506</v>
      </c>
      <c r="E589" s="26" t="n">
        <f aca="false">EOMONTH(C589,0)</f>
        <v>59536</v>
      </c>
      <c r="G589" s="15" t="s">
        <v>33</v>
      </c>
      <c r="H589" s="130"/>
      <c r="I589" s="89" t="n">
        <v>0.026145</v>
      </c>
      <c r="J589" s="89" t="n">
        <v>0.026145</v>
      </c>
      <c r="M589" s="15" t="s">
        <v>33</v>
      </c>
      <c r="N589" s="18" t="n">
        <v>0</v>
      </c>
      <c r="O589" s="18" t="n">
        <v>0.026145</v>
      </c>
      <c r="P589" s="18" t="n">
        <v>0.026145</v>
      </c>
    </row>
    <row r="590" customFormat="false" ht="13.8" hidden="true" customHeight="false" outlineLevel="1" collapsed="false">
      <c r="B590" s="15" t="s">
        <v>25</v>
      </c>
      <c r="C590" s="26" t="n">
        <f aca="false">E589+1</f>
        <v>59537</v>
      </c>
      <c r="E590" s="26" t="n">
        <f aca="false">EOMONTH(C590,0)</f>
        <v>59567</v>
      </c>
      <c r="G590" s="15" t="s">
        <v>33</v>
      </c>
      <c r="H590" s="130"/>
      <c r="I590" s="89" t="n">
        <v>0.026145</v>
      </c>
      <c r="J590" s="89" t="n">
        <v>0.026145</v>
      </c>
      <c r="M590" s="15" t="s">
        <v>33</v>
      </c>
      <c r="N590" s="18" t="n">
        <v>0</v>
      </c>
      <c r="O590" s="18" t="n">
        <v>0.026145</v>
      </c>
      <c r="P590" s="18" t="n">
        <v>0.026145</v>
      </c>
    </row>
    <row r="591" customFormat="false" ht="13.8" hidden="true" customHeight="false" outlineLevel="1" collapsed="false">
      <c r="B591" s="15" t="s">
        <v>25</v>
      </c>
      <c r="C591" s="26" t="n">
        <f aca="false">E590+1</f>
        <v>59568</v>
      </c>
      <c r="E591" s="26" t="n">
        <f aca="false">EOMONTH(C591,0)</f>
        <v>59595</v>
      </c>
      <c r="G591" s="15" t="s">
        <v>33</v>
      </c>
      <c r="H591" s="130"/>
      <c r="I591" s="89" t="n">
        <v>0.026145</v>
      </c>
      <c r="J591" s="89" t="n">
        <v>0.026145</v>
      </c>
      <c r="M591" s="15" t="s">
        <v>33</v>
      </c>
      <c r="N591" s="18" t="n">
        <v>0</v>
      </c>
      <c r="O591" s="18" t="n">
        <v>0.026145</v>
      </c>
      <c r="P591" s="18" t="n">
        <v>0.026145</v>
      </c>
    </row>
    <row r="592" customFormat="false" ht="13.8" hidden="true" customHeight="false" outlineLevel="1" collapsed="false">
      <c r="B592" s="15" t="s">
        <v>25</v>
      </c>
      <c r="C592" s="26" t="n">
        <f aca="false">E591+1</f>
        <v>59596</v>
      </c>
      <c r="E592" s="26" t="n">
        <f aca="false">EOMONTH(C592,0)</f>
        <v>59626</v>
      </c>
      <c r="G592" s="15" t="s">
        <v>33</v>
      </c>
      <c r="H592" s="130"/>
      <c r="I592" s="89" t="n">
        <v>0.026145</v>
      </c>
      <c r="J592" s="89" t="n">
        <v>0.026145</v>
      </c>
      <c r="M592" s="15" t="s">
        <v>33</v>
      </c>
      <c r="N592" s="18" t="n">
        <v>0</v>
      </c>
      <c r="O592" s="18" t="n">
        <v>0.026145</v>
      </c>
      <c r="P592" s="18" t="n">
        <v>0.026145</v>
      </c>
    </row>
    <row r="593" customFormat="false" ht="13.8" hidden="true" customHeight="false" outlineLevel="1" collapsed="false">
      <c r="B593" s="15" t="s">
        <v>25</v>
      </c>
      <c r="C593" s="26" t="n">
        <f aca="false">E592+1</f>
        <v>59627</v>
      </c>
      <c r="E593" s="26" t="n">
        <f aca="false">EOMONTH(C593,0)</f>
        <v>59656</v>
      </c>
      <c r="G593" s="15" t="s">
        <v>33</v>
      </c>
      <c r="H593" s="130"/>
      <c r="I593" s="89" t="n">
        <v>0.026145</v>
      </c>
      <c r="J593" s="89" t="n">
        <v>0.026145</v>
      </c>
      <c r="M593" s="15" t="s">
        <v>33</v>
      </c>
      <c r="N593" s="18" t="n">
        <v>0</v>
      </c>
      <c r="O593" s="18" t="n">
        <v>0.026145</v>
      </c>
      <c r="P593" s="18" t="n">
        <v>0.026145</v>
      </c>
    </row>
    <row r="594" customFormat="false" ht="13.8" hidden="true" customHeight="false" outlineLevel="1" collapsed="false">
      <c r="B594" s="15" t="s">
        <v>25</v>
      </c>
      <c r="C594" s="26" t="n">
        <f aca="false">E593+1</f>
        <v>59657</v>
      </c>
      <c r="E594" s="26" t="n">
        <f aca="false">EOMONTH(C594,0)</f>
        <v>59687</v>
      </c>
      <c r="G594" s="15" t="s">
        <v>33</v>
      </c>
      <c r="H594" s="130"/>
      <c r="I594" s="89" t="n">
        <v>0.026145</v>
      </c>
      <c r="J594" s="89" t="n">
        <v>0.026145</v>
      </c>
      <c r="M594" s="15" t="s">
        <v>33</v>
      </c>
      <c r="N594" s="18" t="n">
        <v>0</v>
      </c>
      <c r="O594" s="18" t="n">
        <v>0.026145</v>
      </c>
      <c r="P594" s="18" t="n">
        <v>0.026145</v>
      </c>
    </row>
    <row r="595" customFormat="false" ht="13.8" hidden="true" customHeight="false" outlineLevel="1" collapsed="false">
      <c r="B595" s="15" t="s">
        <v>25</v>
      </c>
      <c r="C595" s="26" t="n">
        <f aca="false">E594+1</f>
        <v>59688</v>
      </c>
      <c r="E595" s="26" t="n">
        <f aca="false">EOMONTH(C595,0)</f>
        <v>59717</v>
      </c>
      <c r="G595" s="15" t="s">
        <v>33</v>
      </c>
      <c r="H595" s="130"/>
      <c r="I595" s="89" t="n">
        <v>0.026145</v>
      </c>
      <c r="J595" s="89" t="n">
        <v>0.026145</v>
      </c>
      <c r="M595" s="15" t="s">
        <v>33</v>
      </c>
      <c r="N595" s="18" t="n">
        <v>0</v>
      </c>
      <c r="O595" s="18" t="n">
        <v>0.026145</v>
      </c>
      <c r="P595" s="18" t="n">
        <v>0.026145</v>
      </c>
    </row>
    <row r="596" customFormat="false" ht="13.8" hidden="true" customHeight="false" outlineLevel="1" collapsed="false">
      <c r="B596" s="15" t="s">
        <v>25</v>
      </c>
      <c r="C596" s="26" t="n">
        <f aca="false">E595+1</f>
        <v>59718</v>
      </c>
      <c r="E596" s="26" t="n">
        <f aca="false">EOMONTH(C596,0)</f>
        <v>59748</v>
      </c>
      <c r="G596" s="15" t="s">
        <v>33</v>
      </c>
      <c r="H596" s="130"/>
      <c r="I596" s="89" t="n">
        <v>0.026145</v>
      </c>
      <c r="J596" s="89" t="n">
        <v>0.026145</v>
      </c>
      <c r="M596" s="15" t="s">
        <v>33</v>
      </c>
      <c r="N596" s="18" t="n">
        <v>0</v>
      </c>
      <c r="O596" s="18" t="n">
        <v>0.026145</v>
      </c>
      <c r="P596" s="18" t="n">
        <v>0.026145</v>
      </c>
    </row>
    <row r="597" customFormat="false" ht="13.8" hidden="true" customHeight="false" outlineLevel="1" collapsed="false">
      <c r="B597" s="15" t="s">
        <v>25</v>
      </c>
      <c r="C597" s="26" t="n">
        <f aca="false">E596+1</f>
        <v>59749</v>
      </c>
      <c r="E597" s="26" t="n">
        <f aca="false">EOMONTH(C597,0)</f>
        <v>59779</v>
      </c>
      <c r="G597" s="15" t="s">
        <v>33</v>
      </c>
      <c r="H597" s="130"/>
      <c r="I597" s="89" t="n">
        <v>0.026145</v>
      </c>
      <c r="J597" s="89" t="n">
        <v>0.026145</v>
      </c>
      <c r="M597" s="15" t="s">
        <v>33</v>
      </c>
      <c r="N597" s="18" t="n">
        <v>0</v>
      </c>
      <c r="O597" s="18" t="n">
        <v>0.026145</v>
      </c>
      <c r="P597" s="18" t="n">
        <v>0.026145</v>
      </c>
    </row>
    <row r="598" customFormat="false" ht="13.8" hidden="true" customHeight="false" outlineLevel="1" collapsed="false">
      <c r="B598" s="15" t="s">
        <v>25</v>
      </c>
      <c r="C598" s="26" t="n">
        <f aca="false">E597+1</f>
        <v>59780</v>
      </c>
      <c r="E598" s="26" t="n">
        <f aca="false">EOMONTH(C598,0)</f>
        <v>59809</v>
      </c>
      <c r="G598" s="15" t="s">
        <v>33</v>
      </c>
      <c r="H598" s="130"/>
      <c r="I598" s="89" t="n">
        <v>0.026145</v>
      </c>
      <c r="J598" s="89" t="n">
        <v>0.026145</v>
      </c>
      <c r="M598" s="15" t="s">
        <v>33</v>
      </c>
      <c r="N598" s="18" t="n">
        <v>0</v>
      </c>
      <c r="O598" s="18" t="n">
        <v>0.026145</v>
      </c>
      <c r="P598" s="18" t="n">
        <v>0.026145</v>
      </c>
    </row>
    <row r="599" customFormat="false" ht="13.8" hidden="true" customHeight="false" outlineLevel="1" collapsed="false">
      <c r="B599" s="15" t="s">
        <v>25</v>
      </c>
      <c r="C599" s="26" t="n">
        <f aca="false">E598+1</f>
        <v>59810</v>
      </c>
      <c r="E599" s="26" t="n">
        <f aca="false">EOMONTH(C599,0)</f>
        <v>59840</v>
      </c>
      <c r="G599" s="15" t="s">
        <v>33</v>
      </c>
      <c r="H599" s="130"/>
      <c r="I599" s="89" t="n">
        <v>0.026145</v>
      </c>
      <c r="J599" s="89" t="n">
        <v>0.026145</v>
      </c>
      <c r="M599" s="15" t="s">
        <v>33</v>
      </c>
      <c r="N599" s="18" t="n">
        <v>0</v>
      </c>
      <c r="O599" s="18" t="n">
        <v>0.026145</v>
      </c>
      <c r="P599" s="18" t="n">
        <v>0.026145</v>
      </c>
    </row>
    <row r="600" customFormat="false" ht="13.8" hidden="true" customHeight="false" outlineLevel="1" collapsed="false">
      <c r="B600" s="15" t="s">
        <v>25</v>
      </c>
      <c r="C600" s="26" t="n">
        <f aca="false">E599+1</f>
        <v>59841</v>
      </c>
      <c r="E600" s="26" t="n">
        <f aca="false">EOMONTH(C600,0)</f>
        <v>59870</v>
      </c>
      <c r="G600" s="15" t="s">
        <v>33</v>
      </c>
      <c r="H600" s="130"/>
      <c r="I600" s="89" t="n">
        <v>0.026145</v>
      </c>
      <c r="J600" s="89" t="n">
        <v>0.026145</v>
      </c>
      <c r="M600" s="15" t="s">
        <v>33</v>
      </c>
      <c r="N600" s="18" t="n">
        <v>0</v>
      </c>
      <c r="O600" s="18" t="n">
        <v>0.026145</v>
      </c>
      <c r="P600" s="18" t="n">
        <v>0.026145</v>
      </c>
    </row>
    <row r="601" customFormat="false" ht="13.8" hidden="true" customHeight="false" outlineLevel="1" collapsed="false">
      <c r="B601" s="15" t="s">
        <v>25</v>
      </c>
      <c r="C601" s="26" t="n">
        <f aca="false">E600+1</f>
        <v>59871</v>
      </c>
      <c r="E601" s="26" t="n">
        <f aca="false">EOMONTH(C601,0)</f>
        <v>59901</v>
      </c>
      <c r="G601" s="15" t="s">
        <v>33</v>
      </c>
      <c r="H601" s="130"/>
      <c r="I601" s="89" t="n">
        <v>0.026145</v>
      </c>
      <c r="J601" s="89" t="n">
        <v>0.026145</v>
      </c>
      <c r="M601" s="15" t="s">
        <v>33</v>
      </c>
      <c r="N601" s="18" t="n">
        <v>0</v>
      </c>
      <c r="O601" s="18" t="n">
        <v>0.026145</v>
      </c>
      <c r="P601" s="18" t="n">
        <v>0.026145</v>
      </c>
    </row>
    <row r="602" customFormat="false" ht="13.8" hidden="true" customHeight="false" outlineLevel="1" collapsed="false">
      <c r="B602" s="15" t="s">
        <v>25</v>
      </c>
      <c r="C602" s="26" t="n">
        <f aca="false">E601+1</f>
        <v>59902</v>
      </c>
      <c r="E602" s="26" t="n">
        <f aca="false">EOMONTH(C602,0)</f>
        <v>59932</v>
      </c>
      <c r="G602" s="15" t="s">
        <v>33</v>
      </c>
      <c r="H602" s="130"/>
      <c r="I602" s="89" t="n">
        <v>0.026145</v>
      </c>
      <c r="J602" s="89" t="n">
        <v>0.026145</v>
      </c>
      <c r="M602" s="15" t="s">
        <v>33</v>
      </c>
      <c r="N602" s="18" t="n">
        <v>0</v>
      </c>
      <c r="O602" s="18" t="n">
        <v>0.026145</v>
      </c>
      <c r="P602" s="18" t="n">
        <v>0.026145</v>
      </c>
    </row>
    <row r="603" customFormat="false" ht="13.8" hidden="true" customHeight="false" outlineLevel="1" collapsed="false">
      <c r="B603" s="15" t="s">
        <v>25</v>
      </c>
      <c r="C603" s="26" t="n">
        <f aca="false">E602+1</f>
        <v>59933</v>
      </c>
      <c r="E603" s="26" t="n">
        <f aca="false">EOMONTH(C603,0)</f>
        <v>59961</v>
      </c>
      <c r="G603" s="15" t="s">
        <v>33</v>
      </c>
      <c r="H603" s="130"/>
      <c r="I603" s="89" t="n">
        <v>0.026145</v>
      </c>
      <c r="J603" s="89" t="n">
        <v>0.026145</v>
      </c>
      <c r="M603" s="15" t="s">
        <v>33</v>
      </c>
      <c r="N603" s="18" t="n">
        <v>0</v>
      </c>
      <c r="O603" s="18" t="n">
        <v>0.026145</v>
      </c>
      <c r="P603" s="18" t="n">
        <v>0.026145</v>
      </c>
    </row>
    <row r="604" customFormat="false" ht="13.8" hidden="true" customHeight="false" outlineLevel="1" collapsed="false">
      <c r="B604" s="15" t="s">
        <v>25</v>
      </c>
      <c r="C604" s="26" t="n">
        <f aca="false">E603+1</f>
        <v>59962</v>
      </c>
      <c r="E604" s="26" t="n">
        <f aca="false">EOMONTH(C604,0)</f>
        <v>59992</v>
      </c>
      <c r="G604" s="15" t="s">
        <v>33</v>
      </c>
      <c r="H604" s="130"/>
      <c r="I604" s="89" t="n">
        <v>0.026145</v>
      </c>
      <c r="J604" s="89" t="n">
        <v>0.026145</v>
      </c>
      <c r="M604" s="15" t="s">
        <v>33</v>
      </c>
      <c r="N604" s="18" t="n">
        <v>0</v>
      </c>
      <c r="O604" s="18" t="n">
        <v>0.026145</v>
      </c>
      <c r="P604" s="18" t="n">
        <v>0.026145</v>
      </c>
    </row>
    <row r="605" customFormat="false" ht="13.8" hidden="true" customHeight="false" outlineLevel="1" collapsed="false">
      <c r="B605" s="15" t="s">
        <v>25</v>
      </c>
      <c r="C605" s="26" t="n">
        <f aca="false">E604+1</f>
        <v>59993</v>
      </c>
      <c r="E605" s="26" t="n">
        <f aca="false">EOMONTH(C605,0)</f>
        <v>60022</v>
      </c>
      <c r="G605" s="15" t="s">
        <v>33</v>
      </c>
      <c r="H605" s="130"/>
      <c r="I605" s="89" t="n">
        <v>0.026145</v>
      </c>
      <c r="J605" s="89" t="n">
        <v>0.026145</v>
      </c>
      <c r="M605" s="15" t="s">
        <v>33</v>
      </c>
      <c r="N605" s="18" t="n">
        <v>0</v>
      </c>
      <c r="O605" s="18" t="n">
        <v>0.026145</v>
      </c>
      <c r="P605" s="18" t="n">
        <v>0.026145</v>
      </c>
    </row>
    <row r="606" customFormat="false" ht="13.8" hidden="true" customHeight="false" outlineLevel="1" collapsed="false">
      <c r="B606" s="15" t="s">
        <v>25</v>
      </c>
      <c r="C606" s="26" t="n">
        <f aca="false">E605+1</f>
        <v>60023</v>
      </c>
      <c r="E606" s="26" t="n">
        <f aca="false">EOMONTH(C606,0)</f>
        <v>60053</v>
      </c>
      <c r="G606" s="15" t="s">
        <v>33</v>
      </c>
      <c r="H606" s="130"/>
      <c r="I606" s="89" t="n">
        <v>0.026145</v>
      </c>
      <c r="J606" s="89" t="n">
        <v>0.026145</v>
      </c>
      <c r="M606" s="15" t="s">
        <v>33</v>
      </c>
      <c r="N606" s="18" t="n">
        <v>0</v>
      </c>
      <c r="O606" s="18" t="n">
        <v>0.026145</v>
      </c>
      <c r="P606" s="18" t="n">
        <v>0.026145</v>
      </c>
    </row>
    <row r="607" customFormat="false" ht="13.8" hidden="true" customHeight="false" outlineLevel="1" collapsed="false">
      <c r="B607" s="15" t="s">
        <v>25</v>
      </c>
      <c r="C607" s="26" t="n">
        <f aca="false">E606+1</f>
        <v>60054</v>
      </c>
      <c r="E607" s="26" t="n">
        <f aca="false">EOMONTH(C607,0)</f>
        <v>60083</v>
      </c>
      <c r="G607" s="15" t="s">
        <v>33</v>
      </c>
      <c r="H607" s="130"/>
      <c r="I607" s="89" t="n">
        <v>0.026145</v>
      </c>
      <c r="J607" s="89" t="n">
        <v>0.026145</v>
      </c>
      <c r="M607" s="15" t="s">
        <v>33</v>
      </c>
      <c r="N607" s="18" t="n">
        <v>0</v>
      </c>
      <c r="O607" s="18" t="n">
        <v>0.026145</v>
      </c>
      <c r="P607" s="18" t="n">
        <v>0.026145</v>
      </c>
    </row>
    <row r="608" customFormat="false" ht="13.8" hidden="true" customHeight="false" outlineLevel="1" collapsed="false">
      <c r="B608" s="15" t="s">
        <v>25</v>
      </c>
      <c r="C608" s="26" t="n">
        <f aca="false">E607+1</f>
        <v>60084</v>
      </c>
      <c r="E608" s="26" t="n">
        <f aca="false">EOMONTH(C608,0)</f>
        <v>60114</v>
      </c>
      <c r="G608" s="15" t="s">
        <v>33</v>
      </c>
      <c r="H608" s="130"/>
      <c r="I608" s="89" t="n">
        <v>0.026145</v>
      </c>
      <c r="J608" s="89" t="n">
        <v>0.026145</v>
      </c>
      <c r="M608" s="15" t="s">
        <v>33</v>
      </c>
      <c r="N608" s="18" t="n">
        <v>0</v>
      </c>
      <c r="O608" s="18" t="n">
        <v>0.026145</v>
      </c>
      <c r="P608" s="18" t="n">
        <v>0.026145</v>
      </c>
    </row>
    <row r="609" customFormat="false" ht="13.8" hidden="true" customHeight="false" outlineLevel="1" collapsed="false">
      <c r="B609" s="15" t="s">
        <v>25</v>
      </c>
      <c r="C609" s="26" t="n">
        <f aca="false">E608+1</f>
        <v>60115</v>
      </c>
      <c r="E609" s="26" t="n">
        <f aca="false">EOMONTH(C609,0)</f>
        <v>60145</v>
      </c>
      <c r="G609" s="15" t="s">
        <v>33</v>
      </c>
      <c r="H609" s="130"/>
      <c r="I609" s="89" t="n">
        <v>0.026145</v>
      </c>
      <c r="J609" s="89" t="n">
        <v>0.026145</v>
      </c>
      <c r="M609" s="15" t="s">
        <v>33</v>
      </c>
      <c r="N609" s="18" t="n">
        <v>0</v>
      </c>
      <c r="O609" s="18" t="n">
        <v>0.026145</v>
      </c>
      <c r="P609" s="18" t="n">
        <v>0.026145</v>
      </c>
    </row>
    <row r="610" customFormat="false" ht="13.8" hidden="true" customHeight="false" outlineLevel="1" collapsed="false">
      <c r="B610" s="15" t="s">
        <v>25</v>
      </c>
      <c r="C610" s="26" t="n">
        <f aca="false">E609+1</f>
        <v>60146</v>
      </c>
      <c r="E610" s="26" t="n">
        <f aca="false">EOMONTH(C610,0)</f>
        <v>60175</v>
      </c>
      <c r="G610" s="15" t="s">
        <v>33</v>
      </c>
      <c r="H610" s="130"/>
      <c r="I610" s="89" t="n">
        <v>0.026145</v>
      </c>
      <c r="J610" s="89" t="n">
        <v>0.026145</v>
      </c>
      <c r="M610" s="15" t="s">
        <v>33</v>
      </c>
      <c r="N610" s="18" t="n">
        <v>0</v>
      </c>
      <c r="O610" s="18" t="n">
        <v>0.026145</v>
      </c>
      <c r="P610" s="18" t="n">
        <v>0.026145</v>
      </c>
    </row>
    <row r="611" customFormat="false" ht="13.8" hidden="true" customHeight="false" outlineLevel="1" collapsed="false">
      <c r="B611" s="15" t="s">
        <v>25</v>
      </c>
      <c r="C611" s="26" t="n">
        <f aca="false">E610+1</f>
        <v>60176</v>
      </c>
      <c r="E611" s="26" t="n">
        <f aca="false">EOMONTH(C611,0)</f>
        <v>60206</v>
      </c>
      <c r="G611" s="15" t="s">
        <v>33</v>
      </c>
      <c r="H611" s="130"/>
      <c r="I611" s="89" t="n">
        <v>0.026145</v>
      </c>
      <c r="J611" s="89" t="n">
        <v>0.026145</v>
      </c>
      <c r="M611" s="15" t="s">
        <v>33</v>
      </c>
      <c r="N611" s="18" t="n">
        <v>0</v>
      </c>
      <c r="O611" s="18" t="n">
        <v>0.026145</v>
      </c>
      <c r="P611" s="18" t="n">
        <v>0.026145</v>
      </c>
    </row>
    <row r="612" customFormat="false" ht="13.8" hidden="true" customHeight="false" outlineLevel="1" collapsed="false">
      <c r="B612" s="15" t="s">
        <v>25</v>
      </c>
      <c r="C612" s="26" t="n">
        <f aca="false">E611+1</f>
        <v>60207</v>
      </c>
      <c r="E612" s="26" t="n">
        <f aca="false">EOMONTH(C612,0)</f>
        <v>60236</v>
      </c>
      <c r="G612" s="15" t="s">
        <v>33</v>
      </c>
      <c r="H612" s="130"/>
      <c r="I612" s="89" t="n">
        <v>0.026145</v>
      </c>
      <c r="J612" s="89" t="n">
        <v>0.026145</v>
      </c>
      <c r="M612" s="15" t="s">
        <v>33</v>
      </c>
      <c r="N612" s="18" t="n">
        <v>0</v>
      </c>
      <c r="O612" s="18" t="n">
        <v>0.026145</v>
      </c>
      <c r="P612" s="18" t="n">
        <v>0.026145</v>
      </c>
    </row>
    <row r="613" customFormat="false" ht="13.8" hidden="true" customHeight="false" outlineLevel="1" collapsed="false">
      <c r="B613" s="15" t="s">
        <v>25</v>
      </c>
      <c r="C613" s="26" t="n">
        <f aca="false">E612+1</f>
        <v>60237</v>
      </c>
      <c r="E613" s="26" t="n">
        <f aca="false">EOMONTH(C613,0)</f>
        <v>60267</v>
      </c>
      <c r="G613" s="15" t="s">
        <v>33</v>
      </c>
      <c r="H613" s="130"/>
      <c r="I613" s="89" t="n">
        <v>0.026145</v>
      </c>
      <c r="J613" s="89" t="n">
        <v>0.026145</v>
      </c>
      <c r="M613" s="15" t="s">
        <v>33</v>
      </c>
      <c r="N613" s="18" t="n">
        <v>0</v>
      </c>
      <c r="O613" s="18" t="n">
        <v>0.026145</v>
      </c>
      <c r="P613" s="18" t="n">
        <v>0.026145</v>
      </c>
    </row>
    <row r="614" customFormat="false" ht="13.8" hidden="true" customHeight="false" outlineLevel="1" collapsed="false">
      <c r="B614" s="15" t="s">
        <v>25</v>
      </c>
      <c r="C614" s="26" t="n">
        <f aca="false">E613+1</f>
        <v>60268</v>
      </c>
      <c r="E614" s="26" t="n">
        <f aca="false">EOMONTH(C614,0)</f>
        <v>60298</v>
      </c>
      <c r="G614" s="15" t="s">
        <v>33</v>
      </c>
      <c r="H614" s="130"/>
      <c r="I614" s="89" t="n">
        <v>0.026145</v>
      </c>
      <c r="J614" s="89" t="n">
        <v>0.026145</v>
      </c>
      <c r="M614" s="15" t="s">
        <v>33</v>
      </c>
      <c r="N614" s="18" t="n">
        <v>0</v>
      </c>
      <c r="O614" s="18" t="n">
        <v>0.026145</v>
      </c>
      <c r="P614" s="18" t="n">
        <v>0.026145</v>
      </c>
    </row>
    <row r="615" customFormat="false" ht="13.8" hidden="true" customHeight="false" outlineLevel="1" collapsed="false">
      <c r="B615" s="15" t="s">
        <v>25</v>
      </c>
      <c r="C615" s="26" t="n">
        <f aca="false">E614+1</f>
        <v>60299</v>
      </c>
      <c r="E615" s="26" t="n">
        <f aca="false">EOMONTH(C615,0)</f>
        <v>60326</v>
      </c>
      <c r="G615" s="15" t="s">
        <v>33</v>
      </c>
      <c r="H615" s="130"/>
      <c r="I615" s="89" t="n">
        <v>0.026145</v>
      </c>
      <c r="J615" s="89" t="n">
        <v>0.026145</v>
      </c>
      <c r="M615" s="15" t="s">
        <v>33</v>
      </c>
      <c r="N615" s="18" t="n">
        <v>0</v>
      </c>
      <c r="O615" s="18" t="n">
        <v>0.026145</v>
      </c>
      <c r="P615" s="18" t="n">
        <v>0.026145</v>
      </c>
    </row>
    <row r="616" customFormat="false" ht="13.8" hidden="true" customHeight="false" outlineLevel="1" collapsed="false">
      <c r="B616" s="15" t="s">
        <v>25</v>
      </c>
      <c r="C616" s="26" t="n">
        <f aca="false">E615+1</f>
        <v>60327</v>
      </c>
      <c r="E616" s="26" t="n">
        <f aca="false">EOMONTH(C616,0)</f>
        <v>60357</v>
      </c>
      <c r="G616" s="15" t="s">
        <v>33</v>
      </c>
      <c r="H616" s="130"/>
      <c r="I616" s="89" t="n">
        <v>0.026145</v>
      </c>
      <c r="J616" s="89" t="n">
        <v>0.026145</v>
      </c>
      <c r="M616" s="15" t="s">
        <v>33</v>
      </c>
      <c r="N616" s="18" t="n">
        <v>0</v>
      </c>
      <c r="O616" s="18" t="n">
        <v>0.026145</v>
      </c>
      <c r="P616" s="18" t="n">
        <v>0.026145</v>
      </c>
    </row>
    <row r="617" customFormat="false" ht="13.8" hidden="true" customHeight="false" outlineLevel="1" collapsed="false">
      <c r="B617" s="15" t="s">
        <v>25</v>
      </c>
      <c r="C617" s="26" t="n">
        <f aca="false">E616+1</f>
        <v>60358</v>
      </c>
      <c r="E617" s="26" t="n">
        <f aca="false">EOMONTH(C617,0)</f>
        <v>60387</v>
      </c>
      <c r="G617" s="15" t="s">
        <v>33</v>
      </c>
      <c r="H617" s="130"/>
      <c r="I617" s="89" t="n">
        <v>0.026145</v>
      </c>
      <c r="J617" s="89" t="n">
        <v>0.026145</v>
      </c>
      <c r="M617" s="15" t="s">
        <v>33</v>
      </c>
      <c r="N617" s="18" t="n">
        <v>0</v>
      </c>
      <c r="O617" s="18" t="n">
        <v>0.026145</v>
      </c>
      <c r="P617" s="18" t="n">
        <v>0.026145</v>
      </c>
    </row>
    <row r="618" customFormat="false" ht="13.8" hidden="true" customHeight="false" outlineLevel="1" collapsed="false">
      <c r="B618" s="15" t="s">
        <v>25</v>
      </c>
      <c r="C618" s="26" t="n">
        <f aca="false">E617+1</f>
        <v>60388</v>
      </c>
      <c r="E618" s="26" t="n">
        <f aca="false">EOMONTH(C618,0)</f>
        <v>60418</v>
      </c>
      <c r="G618" s="15" t="s">
        <v>33</v>
      </c>
      <c r="H618" s="130"/>
      <c r="I618" s="89" t="n">
        <v>0.026145</v>
      </c>
      <c r="J618" s="89" t="n">
        <v>0.026145</v>
      </c>
      <c r="M618" s="15" t="s">
        <v>33</v>
      </c>
      <c r="N618" s="18" t="n">
        <v>0</v>
      </c>
      <c r="O618" s="18" t="n">
        <v>0.026145</v>
      </c>
      <c r="P618" s="18" t="n">
        <v>0.026145</v>
      </c>
    </row>
    <row r="619" customFormat="false" ht="13.8" hidden="true" customHeight="false" outlineLevel="1" collapsed="false">
      <c r="B619" s="15" t="s">
        <v>25</v>
      </c>
      <c r="C619" s="26" t="n">
        <f aca="false">E618+1</f>
        <v>60419</v>
      </c>
      <c r="E619" s="26" t="n">
        <f aca="false">EOMONTH(C619,0)</f>
        <v>60448</v>
      </c>
      <c r="G619" s="15" t="s">
        <v>33</v>
      </c>
      <c r="H619" s="130"/>
      <c r="I619" s="89" t="n">
        <v>0.026145</v>
      </c>
      <c r="J619" s="89" t="n">
        <v>0.026145</v>
      </c>
      <c r="M619" s="15" t="s">
        <v>33</v>
      </c>
      <c r="N619" s="18" t="n">
        <v>0</v>
      </c>
      <c r="O619" s="18" t="n">
        <v>0.026145</v>
      </c>
      <c r="P619" s="18" t="n">
        <v>0.026145</v>
      </c>
    </row>
    <row r="620" customFormat="false" ht="13.8" hidden="true" customHeight="false" outlineLevel="1" collapsed="false">
      <c r="B620" s="15" t="s">
        <v>25</v>
      </c>
      <c r="C620" s="26" t="n">
        <f aca="false">E619+1</f>
        <v>60449</v>
      </c>
      <c r="E620" s="26" t="n">
        <f aca="false">EOMONTH(C620,0)</f>
        <v>60479</v>
      </c>
      <c r="G620" s="15" t="s">
        <v>33</v>
      </c>
      <c r="H620" s="130"/>
      <c r="I620" s="89" t="n">
        <v>0.026145</v>
      </c>
      <c r="J620" s="89" t="n">
        <v>0.026145</v>
      </c>
      <c r="M620" s="15" t="s">
        <v>33</v>
      </c>
      <c r="N620" s="18" t="n">
        <v>0</v>
      </c>
      <c r="O620" s="18" t="n">
        <v>0.026145</v>
      </c>
      <c r="P620" s="18" t="n">
        <v>0.026145</v>
      </c>
    </row>
    <row r="621" customFormat="false" ht="13.8" hidden="true" customHeight="false" outlineLevel="1" collapsed="false">
      <c r="B621" s="15" t="s">
        <v>25</v>
      </c>
      <c r="C621" s="26" t="n">
        <f aca="false">E620+1</f>
        <v>60480</v>
      </c>
      <c r="E621" s="26" t="n">
        <f aca="false">EOMONTH(C621,0)</f>
        <v>60510</v>
      </c>
      <c r="G621" s="15" t="s">
        <v>33</v>
      </c>
      <c r="H621" s="130"/>
      <c r="I621" s="89" t="n">
        <v>0.026145</v>
      </c>
      <c r="J621" s="89" t="n">
        <v>0.026145</v>
      </c>
      <c r="M621" s="15" t="s">
        <v>33</v>
      </c>
      <c r="N621" s="18" t="n">
        <v>0</v>
      </c>
      <c r="O621" s="18" t="n">
        <v>0.026145</v>
      </c>
      <c r="P621" s="18" t="n">
        <v>0.026145</v>
      </c>
    </row>
    <row r="622" customFormat="false" ht="13.8" hidden="true" customHeight="false" outlineLevel="1" collapsed="false">
      <c r="B622" s="15" t="s">
        <v>25</v>
      </c>
      <c r="C622" s="26" t="n">
        <f aca="false">E621+1</f>
        <v>60511</v>
      </c>
      <c r="E622" s="26" t="n">
        <f aca="false">EOMONTH(C622,0)</f>
        <v>60540</v>
      </c>
      <c r="G622" s="15" t="s">
        <v>33</v>
      </c>
      <c r="H622" s="130"/>
      <c r="I622" s="89" t="n">
        <v>0.026145</v>
      </c>
      <c r="J622" s="89" t="n">
        <v>0.026145</v>
      </c>
      <c r="M622" s="15" t="s">
        <v>33</v>
      </c>
      <c r="N622" s="18" t="n">
        <v>0</v>
      </c>
      <c r="O622" s="18" t="n">
        <v>0.026145</v>
      </c>
      <c r="P622" s="18" t="n">
        <v>0.026145</v>
      </c>
    </row>
    <row r="623" customFormat="false" ht="13.8" hidden="true" customHeight="false" outlineLevel="1" collapsed="false">
      <c r="B623" s="15" t="s">
        <v>25</v>
      </c>
      <c r="C623" s="26" t="n">
        <f aca="false">E622+1</f>
        <v>60541</v>
      </c>
      <c r="E623" s="26" t="n">
        <f aca="false">EOMONTH(C623,0)</f>
        <v>60571</v>
      </c>
      <c r="G623" s="15" t="s">
        <v>33</v>
      </c>
      <c r="H623" s="130"/>
      <c r="I623" s="89" t="n">
        <v>0.026145</v>
      </c>
      <c r="J623" s="89" t="n">
        <v>0.026145</v>
      </c>
      <c r="M623" s="15" t="s">
        <v>33</v>
      </c>
      <c r="N623" s="18" t="n">
        <v>0</v>
      </c>
      <c r="O623" s="18" t="n">
        <v>0.026145</v>
      </c>
      <c r="P623" s="18" t="n">
        <v>0.026145</v>
      </c>
    </row>
    <row r="624" customFormat="false" ht="13.8" hidden="true" customHeight="false" outlineLevel="1" collapsed="false">
      <c r="B624" s="15" t="s">
        <v>25</v>
      </c>
      <c r="C624" s="26" t="n">
        <f aca="false">E623+1</f>
        <v>60572</v>
      </c>
      <c r="E624" s="26" t="n">
        <f aca="false">EOMONTH(C624,0)</f>
        <v>60601</v>
      </c>
      <c r="G624" s="15" t="s">
        <v>33</v>
      </c>
      <c r="H624" s="130"/>
      <c r="I624" s="89" t="n">
        <v>0.026145</v>
      </c>
      <c r="J624" s="89" t="n">
        <v>0.026145</v>
      </c>
      <c r="M624" s="15" t="s">
        <v>33</v>
      </c>
      <c r="N624" s="18" t="n">
        <v>0</v>
      </c>
      <c r="O624" s="18" t="n">
        <v>0.026145</v>
      </c>
      <c r="P624" s="18" t="n">
        <v>0.026145</v>
      </c>
    </row>
    <row r="625" customFormat="false" ht="13.8" hidden="true" customHeight="false" outlineLevel="1" collapsed="false">
      <c r="B625" s="15" t="s">
        <v>25</v>
      </c>
      <c r="C625" s="26" t="n">
        <f aca="false">E624+1</f>
        <v>60602</v>
      </c>
      <c r="E625" s="26" t="n">
        <f aca="false">EOMONTH(C625,0)</f>
        <v>60632</v>
      </c>
      <c r="G625" s="15" t="s">
        <v>33</v>
      </c>
      <c r="H625" s="130"/>
      <c r="I625" s="89" t="n">
        <v>0.026145</v>
      </c>
      <c r="J625" s="89" t="n">
        <v>0.026145</v>
      </c>
      <c r="M625" s="15" t="s">
        <v>33</v>
      </c>
      <c r="N625" s="18" t="n">
        <v>0</v>
      </c>
      <c r="O625" s="18" t="n">
        <v>0.026145</v>
      </c>
      <c r="P625" s="18" t="n">
        <v>0.026145</v>
      </c>
    </row>
    <row r="626" customFormat="false" ht="13.8" hidden="true" customHeight="false" outlineLevel="1" collapsed="false">
      <c r="B626" s="15" t="s">
        <v>25</v>
      </c>
      <c r="C626" s="26" t="n">
        <f aca="false">E625+1</f>
        <v>60633</v>
      </c>
      <c r="E626" s="26" t="n">
        <f aca="false">EOMONTH(C626,0)</f>
        <v>60663</v>
      </c>
      <c r="G626" s="15" t="s">
        <v>33</v>
      </c>
      <c r="H626" s="130"/>
      <c r="I626" s="89" t="n">
        <v>0.026145</v>
      </c>
      <c r="J626" s="89" t="n">
        <v>0.026145</v>
      </c>
      <c r="M626" s="15" t="s">
        <v>33</v>
      </c>
      <c r="N626" s="18" t="n">
        <v>0</v>
      </c>
      <c r="O626" s="18" t="n">
        <v>0.026145</v>
      </c>
      <c r="P626" s="18" t="n">
        <v>0.026145</v>
      </c>
    </row>
    <row r="627" customFormat="false" ht="13.8" hidden="true" customHeight="false" outlineLevel="1" collapsed="false">
      <c r="B627" s="15" t="s">
        <v>25</v>
      </c>
      <c r="C627" s="26" t="n">
        <f aca="false">E626+1</f>
        <v>60664</v>
      </c>
      <c r="E627" s="26" t="n">
        <f aca="false">EOMONTH(C627,0)</f>
        <v>60691</v>
      </c>
      <c r="G627" s="15" t="s">
        <v>33</v>
      </c>
      <c r="H627" s="130"/>
      <c r="I627" s="89" t="n">
        <v>0.026145</v>
      </c>
      <c r="J627" s="89" t="n">
        <v>0.026145</v>
      </c>
      <c r="M627" s="15" t="s">
        <v>33</v>
      </c>
      <c r="N627" s="18" t="n">
        <v>0</v>
      </c>
      <c r="O627" s="18" t="n">
        <v>0.026145</v>
      </c>
      <c r="P627" s="18" t="n">
        <v>0.026145</v>
      </c>
    </row>
    <row r="628" customFormat="false" ht="13.8" hidden="true" customHeight="false" outlineLevel="1" collapsed="false">
      <c r="B628" s="15" t="s">
        <v>25</v>
      </c>
      <c r="C628" s="26" t="n">
        <f aca="false">E627+1</f>
        <v>60692</v>
      </c>
      <c r="E628" s="26" t="n">
        <f aca="false">EOMONTH(C628,0)</f>
        <v>60722</v>
      </c>
      <c r="G628" s="15" t="s">
        <v>33</v>
      </c>
      <c r="H628" s="130"/>
      <c r="I628" s="89" t="n">
        <v>0.026145</v>
      </c>
      <c r="J628" s="89" t="n">
        <v>0.026145</v>
      </c>
      <c r="M628" s="15" t="s">
        <v>33</v>
      </c>
      <c r="N628" s="18" t="n">
        <v>0</v>
      </c>
      <c r="O628" s="18" t="n">
        <v>0.026145</v>
      </c>
      <c r="P628" s="18" t="n">
        <v>0.026145</v>
      </c>
    </row>
    <row r="629" customFormat="false" ht="13.8" hidden="true" customHeight="false" outlineLevel="1" collapsed="false">
      <c r="B629" s="15" t="s">
        <v>25</v>
      </c>
      <c r="C629" s="26" t="n">
        <f aca="false">E628+1</f>
        <v>60723</v>
      </c>
      <c r="E629" s="26" t="n">
        <f aca="false">EOMONTH(C629,0)</f>
        <v>60752</v>
      </c>
      <c r="G629" s="15" t="s">
        <v>33</v>
      </c>
      <c r="H629" s="130"/>
      <c r="I629" s="89" t="n">
        <v>0.026145</v>
      </c>
      <c r="J629" s="89" t="n">
        <v>0.026145</v>
      </c>
      <c r="M629" s="15" t="s">
        <v>33</v>
      </c>
      <c r="N629" s="18" t="n">
        <v>0</v>
      </c>
      <c r="O629" s="18" t="n">
        <v>0.026145</v>
      </c>
      <c r="P629" s="18" t="n">
        <v>0.026145</v>
      </c>
    </row>
    <row r="630" customFormat="false" ht="13.8" hidden="true" customHeight="false" outlineLevel="1" collapsed="false">
      <c r="B630" s="15" t="s">
        <v>25</v>
      </c>
      <c r="C630" s="26" t="n">
        <f aca="false">E629+1</f>
        <v>60753</v>
      </c>
      <c r="E630" s="26" t="n">
        <f aca="false">EOMONTH(C630,0)</f>
        <v>60783</v>
      </c>
      <c r="G630" s="15" t="s">
        <v>33</v>
      </c>
      <c r="H630" s="130"/>
      <c r="I630" s="89" t="n">
        <v>0.026145</v>
      </c>
      <c r="J630" s="89" t="n">
        <v>0.026145</v>
      </c>
      <c r="M630" s="15" t="s">
        <v>33</v>
      </c>
      <c r="N630" s="18" t="n">
        <v>0</v>
      </c>
      <c r="O630" s="18" t="n">
        <v>0.026145</v>
      </c>
      <c r="P630" s="18" t="n">
        <v>0.026145</v>
      </c>
    </row>
    <row r="631" customFormat="false" ht="13.8" hidden="true" customHeight="false" outlineLevel="1" collapsed="false">
      <c r="B631" s="15" t="s">
        <v>25</v>
      </c>
      <c r="C631" s="26" t="n">
        <f aca="false">E630+1</f>
        <v>60784</v>
      </c>
      <c r="E631" s="26" t="n">
        <f aca="false">EOMONTH(C631,0)</f>
        <v>60813</v>
      </c>
      <c r="G631" s="15" t="s">
        <v>33</v>
      </c>
      <c r="H631" s="130"/>
      <c r="I631" s="89" t="n">
        <v>0.026145</v>
      </c>
      <c r="J631" s="89" t="n">
        <v>0.026145</v>
      </c>
      <c r="M631" s="15" t="s">
        <v>33</v>
      </c>
      <c r="N631" s="18" t="n">
        <v>0</v>
      </c>
      <c r="O631" s="18" t="n">
        <v>0.026145</v>
      </c>
      <c r="P631" s="18" t="n">
        <v>0.026145</v>
      </c>
    </row>
    <row r="632" customFormat="false" ht="13.8" hidden="true" customHeight="false" outlineLevel="1" collapsed="false">
      <c r="B632" s="15" t="s">
        <v>25</v>
      </c>
      <c r="C632" s="26" t="n">
        <f aca="false">E631+1</f>
        <v>60814</v>
      </c>
      <c r="E632" s="26" t="n">
        <f aca="false">EOMONTH(C632,0)</f>
        <v>60844</v>
      </c>
      <c r="G632" s="15" t="s">
        <v>33</v>
      </c>
      <c r="H632" s="130"/>
      <c r="I632" s="89" t="n">
        <v>0.026145</v>
      </c>
      <c r="J632" s="89" t="n">
        <v>0.026145</v>
      </c>
      <c r="M632" s="15" t="s">
        <v>33</v>
      </c>
      <c r="N632" s="18" t="n">
        <v>0</v>
      </c>
      <c r="O632" s="18" t="n">
        <v>0.026145</v>
      </c>
      <c r="P632" s="18" t="n">
        <v>0.026145</v>
      </c>
    </row>
    <row r="633" customFormat="false" ht="13.8" hidden="true" customHeight="false" outlineLevel="1" collapsed="false">
      <c r="B633" s="15" t="s">
        <v>25</v>
      </c>
      <c r="C633" s="26" t="n">
        <f aca="false">E632+1</f>
        <v>60845</v>
      </c>
      <c r="E633" s="26" t="n">
        <f aca="false">EOMONTH(C633,0)</f>
        <v>60875</v>
      </c>
      <c r="G633" s="15" t="s">
        <v>33</v>
      </c>
      <c r="H633" s="130"/>
      <c r="I633" s="89" t="n">
        <v>0.026145</v>
      </c>
      <c r="J633" s="89" t="n">
        <v>0.026145</v>
      </c>
      <c r="M633" s="15" t="s">
        <v>33</v>
      </c>
      <c r="N633" s="18" t="n">
        <v>0</v>
      </c>
      <c r="O633" s="18" t="n">
        <v>0.026145</v>
      </c>
      <c r="P633" s="18" t="n">
        <v>0.026145</v>
      </c>
    </row>
    <row r="634" customFormat="false" ht="13.8" hidden="true" customHeight="false" outlineLevel="1" collapsed="false"/>
    <row r="635" customFormat="false" ht="13.8" hidden="false" customHeight="false" outlineLevel="0" collapsed="false">
      <c r="A635" s="1"/>
      <c r="B635" s="11" t="n">
        <f aca="false">B129+1</f>
        <v>4</v>
      </c>
      <c r="C635" s="11" t="s">
        <v>217</v>
      </c>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row>
    <row r="636" customFormat="false" ht="13.8" hidden="false" customHeight="false" outlineLevel="0" collapsed="false"/>
    <row r="637" customFormat="false" ht="13.8" hidden="true" customHeight="false" outlineLevel="0" collapsed="false">
      <c r="I637" s="131" t="n">
        <f aca="false">I636</f>
        <v>0</v>
      </c>
    </row>
    <row r="638" customFormat="false" ht="13.8" hidden="true" customHeight="false" outlineLevel="0" collapsed="false">
      <c r="I638" s="131" t="n">
        <f aca="false">I637</f>
        <v>0</v>
      </c>
    </row>
    <row r="639" customFormat="false" ht="13.8" hidden="true" customHeight="false" outlineLevel="0" collapsed="false">
      <c r="I639" s="131" t="n">
        <f aca="false">I638</f>
        <v>0</v>
      </c>
    </row>
    <row r="640" customFormat="false" ht="13.8" hidden="true" customHeight="false" outlineLevel="0" collapsed="false">
      <c r="I640" s="131" t="n">
        <f aca="false">I639</f>
        <v>0</v>
      </c>
    </row>
    <row r="641" customFormat="false" ht="13.8" hidden="true" customHeight="false" outlineLevel="0" collapsed="false">
      <c r="I641" s="131" t="n">
        <f aca="false">I640</f>
        <v>0</v>
      </c>
    </row>
    <row r="642" customFormat="false" ht="13.8" hidden="true" customHeight="false" outlineLevel="0" collapsed="false">
      <c r="I642" s="131" t="n">
        <f aca="false">I641</f>
        <v>0</v>
      </c>
    </row>
    <row r="643" customFormat="false" ht="13.8" hidden="true" customHeight="false" outlineLevel="0" collapsed="false">
      <c r="I643" s="131" t="n">
        <f aca="false">I642</f>
        <v>0</v>
      </c>
    </row>
    <row r="644" customFormat="false" ht="13.8" hidden="true" customHeight="false" outlineLevel="0" collapsed="false">
      <c r="I644" s="131" t="n">
        <f aca="false">I643</f>
        <v>0</v>
      </c>
    </row>
    <row r="645" customFormat="false" ht="13.8" hidden="true" customHeight="false" outlineLevel="0" collapsed="false">
      <c r="I645" s="131" t="n">
        <f aca="false">I644</f>
        <v>0</v>
      </c>
    </row>
    <row r="646" customFormat="false" ht="13.8" hidden="true" customHeight="false" outlineLevel="0" collapsed="false">
      <c r="I646" s="131" t="n">
        <f aca="false">I645</f>
        <v>0</v>
      </c>
    </row>
    <row r="647" customFormat="false" ht="13.8" hidden="true" customHeight="false" outlineLevel="0" collapsed="false">
      <c r="I647" s="131" t="n">
        <f aca="false">I646</f>
        <v>0</v>
      </c>
    </row>
    <row r="648" customFormat="false" ht="13.8" hidden="true" customHeight="false" outlineLevel="0" collapsed="false">
      <c r="I648" s="131" t="n">
        <f aca="false">I647</f>
        <v>0</v>
      </c>
    </row>
    <row r="649" customFormat="false" ht="13.8" hidden="true" customHeight="false" outlineLevel="0" collapsed="false">
      <c r="I649" s="131" t="n">
        <f aca="false">I648</f>
        <v>0</v>
      </c>
    </row>
    <row r="650" customFormat="false" ht="13.8" hidden="true" customHeight="false" outlineLevel="0" collapsed="false">
      <c r="I650" s="131" t="n">
        <f aca="false">I649</f>
        <v>0</v>
      </c>
    </row>
    <row r="651" customFormat="false" ht="13.8" hidden="true" customHeight="false" outlineLevel="0" collapsed="false">
      <c r="I651" s="131" t="n">
        <f aca="false">I650</f>
        <v>0</v>
      </c>
    </row>
    <row r="652" customFormat="false" ht="13.8" hidden="true" customHeight="false" outlineLevel="0" collapsed="false">
      <c r="I652" s="131" t="n">
        <f aca="false">I651</f>
        <v>0</v>
      </c>
    </row>
    <row r="653" customFormat="false" ht="13.8" hidden="true" customHeight="false" outlineLevel="0" collapsed="false">
      <c r="I653" s="131" t="n">
        <f aca="false">I652</f>
        <v>0</v>
      </c>
    </row>
    <row r="654" customFormat="false" ht="13.8" hidden="true" customHeight="false" outlineLevel="0" collapsed="false">
      <c r="I654" s="131" t="n">
        <f aca="false">I653</f>
        <v>0</v>
      </c>
    </row>
    <row r="655" customFormat="false" ht="13.8" hidden="true" customHeight="false" outlineLevel="0" collapsed="false">
      <c r="I655" s="131" t="n">
        <f aca="false">I654</f>
        <v>0</v>
      </c>
    </row>
    <row r="656" customFormat="false" ht="13.8" hidden="true" customHeight="false" outlineLevel="0" collapsed="false">
      <c r="I656" s="131" t="n">
        <f aca="false">I655</f>
        <v>0</v>
      </c>
    </row>
    <row r="657" customFormat="false" ht="13.8" hidden="true" customHeight="false" outlineLevel="0" collapsed="false">
      <c r="I657" s="131" t="n">
        <f aca="false">I656</f>
        <v>0</v>
      </c>
    </row>
    <row r="658" customFormat="false" ht="13.8" hidden="true" customHeight="false" outlineLevel="0" collapsed="false">
      <c r="I658" s="131" t="n">
        <f aca="false">I657</f>
        <v>0</v>
      </c>
    </row>
    <row r="659" customFormat="false" ht="13.8" hidden="true" customHeight="false" outlineLevel="0" collapsed="false">
      <c r="I659" s="131" t="n">
        <f aca="false">I658</f>
        <v>0</v>
      </c>
    </row>
    <row r="660" customFormat="false" ht="13.8" hidden="true" customHeight="false" outlineLevel="0" collapsed="false">
      <c r="I660" s="131" t="n">
        <f aca="false">I659</f>
        <v>0</v>
      </c>
    </row>
    <row r="661" customFormat="false" ht="13.8" hidden="true" customHeight="false" outlineLevel="0" collapsed="false">
      <c r="I661" s="131" t="n">
        <f aca="false">I660</f>
        <v>0</v>
      </c>
    </row>
    <row r="662" customFormat="false" ht="13.8" hidden="true" customHeight="false" outlineLevel="0" collapsed="false">
      <c r="I662" s="131" t="n">
        <f aca="false">I661</f>
        <v>0</v>
      </c>
    </row>
    <row r="663" customFormat="false" ht="13.8" hidden="true" customHeight="false" outlineLevel="0" collapsed="false">
      <c r="I663" s="131" t="n">
        <f aca="false">I662</f>
        <v>0</v>
      </c>
    </row>
    <row r="664" customFormat="false" ht="13.8" hidden="true" customHeight="false" outlineLevel="0" collapsed="false">
      <c r="I664" s="131" t="n">
        <f aca="false">I663</f>
        <v>0</v>
      </c>
    </row>
    <row r="665" customFormat="false" ht="13.8" hidden="true" customHeight="false" outlineLevel="0" collapsed="false">
      <c r="I665" s="131" t="n">
        <f aca="false">I664</f>
        <v>0</v>
      </c>
    </row>
    <row r="666" customFormat="false" ht="13.8" hidden="true" customHeight="false" outlineLevel="0" collapsed="false">
      <c r="I666" s="131" t="n">
        <f aca="false">I665</f>
        <v>0</v>
      </c>
    </row>
    <row r="667" customFormat="false" ht="13.8" hidden="true" customHeight="false" outlineLevel="0" collapsed="false">
      <c r="I667" s="131" t="n">
        <f aca="false">I666</f>
        <v>0</v>
      </c>
    </row>
    <row r="668" customFormat="false" ht="13.8" hidden="true" customHeight="false" outlineLevel="0" collapsed="false">
      <c r="I668" s="131" t="n">
        <f aca="false">I667</f>
        <v>0</v>
      </c>
    </row>
    <row r="669" customFormat="false" ht="13.8" hidden="true" customHeight="false" outlineLevel="0" collapsed="false">
      <c r="I669" s="131" t="n">
        <f aca="false">I668</f>
        <v>0</v>
      </c>
    </row>
    <row r="670" customFormat="false" ht="13.8" hidden="true" customHeight="false" outlineLevel="0" collapsed="false">
      <c r="I670" s="131" t="n">
        <f aca="false">I669</f>
        <v>0</v>
      </c>
    </row>
    <row r="671" customFormat="false" ht="13.8" hidden="true" customHeight="false" outlineLevel="0" collapsed="false">
      <c r="I671" s="131" t="n">
        <f aca="false">I670</f>
        <v>0</v>
      </c>
    </row>
    <row r="672" customFormat="false" ht="13.8" hidden="true" customHeight="false" outlineLevel="0" collapsed="false">
      <c r="I672" s="131" t="n">
        <f aca="false">I671</f>
        <v>0</v>
      </c>
    </row>
    <row r="673" customFormat="false" ht="13.8" hidden="true" customHeight="false" outlineLevel="0" collapsed="false">
      <c r="I673" s="131" t="n">
        <f aca="false">I672</f>
        <v>0</v>
      </c>
    </row>
    <row r="674" customFormat="false" ht="13.8" hidden="true" customHeight="false" outlineLevel="0" collapsed="false">
      <c r="I674" s="131" t="n">
        <f aca="false">I673</f>
        <v>0</v>
      </c>
    </row>
    <row r="675" customFormat="false" ht="13.8" hidden="true" customHeight="false" outlineLevel="0" collapsed="false">
      <c r="I675" s="131" t="n">
        <f aca="false">I674</f>
        <v>0</v>
      </c>
    </row>
    <row r="676" customFormat="false" ht="13.8" hidden="true" customHeight="false" outlineLevel="0" collapsed="false">
      <c r="I676" s="131" t="n">
        <f aca="false">I675</f>
        <v>0</v>
      </c>
    </row>
    <row r="677" customFormat="false" ht="13.8" hidden="true" customHeight="false" outlineLevel="0" collapsed="false">
      <c r="I677" s="131" t="n">
        <f aca="false">I676</f>
        <v>0</v>
      </c>
    </row>
    <row r="678" customFormat="false" ht="13.8" hidden="true" customHeight="false" outlineLevel="0" collapsed="false">
      <c r="I678" s="131" t="n">
        <f aca="false">I677</f>
        <v>0</v>
      </c>
    </row>
    <row r="679" customFormat="false" ht="13.8" hidden="true" customHeight="false" outlineLevel="0" collapsed="false">
      <c r="I679" s="131" t="n">
        <f aca="false">I678</f>
        <v>0</v>
      </c>
    </row>
    <row r="680" customFormat="false" ht="13.8" hidden="true" customHeight="false" outlineLevel="0" collapsed="false">
      <c r="I680" s="131" t="n">
        <f aca="false">I679</f>
        <v>0</v>
      </c>
    </row>
    <row r="681" customFormat="false" ht="13.8" hidden="true" customHeight="false" outlineLevel="0" collapsed="false">
      <c r="I681" s="131" t="n">
        <f aca="false">I680</f>
        <v>0</v>
      </c>
    </row>
    <row r="682" customFormat="false" ht="13.8" hidden="true" customHeight="false" outlineLevel="0" collapsed="false">
      <c r="I682" s="131" t="n">
        <f aca="false">I681</f>
        <v>0</v>
      </c>
    </row>
    <row r="683" customFormat="false" ht="13.8" hidden="true" customHeight="false" outlineLevel="0" collapsed="false">
      <c r="I683" s="131" t="n">
        <f aca="false">I682</f>
        <v>0</v>
      </c>
    </row>
    <row r="684" customFormat="false" ht="13.8" hidden="true" customHeight="false" outlineLevel="0" collapsed="false">
      <c r="I684" s="131" t="n">
        <f aca="false">I683</f>
        <v>0</v>
      </c>
    </row>
    <row r="685" customFormat="false" ht="13.8" hidden="true" customHeight="false" outlineLevel="0" collapsed="false">
      <c r="I685" s="131" t="n">
        <f aca="false">I684</f>
        <v>0</v>
      </c>
    </row>
    <row r="686" customFormat="false" ht="13.8" hidden="true" customHeight="false" outlineLevel="0" collapsed="false">
      <c r="I686" s="131" t="n">
        <f aca="false">I685</f>
        <v>0</v>
      </c>
    </row>
    <row r="687" customFormat="false" ht="13.8" hidden="true" customHeight="false" outlineLevel="0" collapsed="false">
      <c r="I687" s="131" t="n">
        <f aca="false">I686</f>
        <v>0</v>
      </c>
    </row>
    <row r="688" customFormat="false" ht="13.8" hidden="true" customHeight="false" outlineLevel="0" collapsed="false">
      <c r="I688" s="131" t="n">
        <f aca="false">I687</f>
        <v>0</v>
      </c>
    </row>
    <row r="689" customFormat="false" ht="13.8" hidden="true" customHeight="false" outlineLevel="0" collapsed="false">
      <c r="I689" s="131" t="n">
        <f aca="false">I688</f>
        <v>0</v>
      </c>
    </row>
    <row r="690" customFormat="false" ht="13.8" hidden="true" customHeight="false" outlineLevel="0" collapsed="false">
      <c r="I690" s="131" t="n">
        <f aca="false">I689</f>
        <v>0</v>
      </c>
    </row>
    <row r="691" customFormat="false" ht="13.8" hidden="true" customHeight="false" outlineLevel="0" collapsed="false">
      <c r="I691" s="131" t="n">
        <f aca="false">I690</f>
        <v>0</v>
      </c>
    </row>
    <row r="692" customFormat="false" ht="13.8" hidden="true" customHeight="false" outlineLevel="0" collapsed="false">
      <c r="I692" s="131" t="n">
        <f aca="false">I691</f>
        <v>0</v>
      </c>
    </row>
    <row r="693" customFormat="false" ht="13.8" hidden="true" customHeight="false" outlineLevel="0" collapsed="false">
      <c r="I693" s="131" t="n">
        <f aca="false">I692</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Q4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19" activeCellId="0" sqref="P19"/>
    </sheetView>
  </sheetViews>
  <sheetFormatPr defaultColWidth="11.53515625" defaultRowHeight="13.8" customHeight="true" zeroHeight="false" outlineLevelRow="0" outlineLevelCol="0"/>
  <cols>
    <col collapsed="false" customWidth="true" hidden="false" outlineLevel="0" max="1" min="1" style="5" width="34.97"/>
    <col collapsed="false" customWidth="true" hidden="false" outlineLevel="0" max="2" min="2" style="5" width="4.43"/>
    <col collapsed="false" customWidth="true" hidden="false" outlineLevel="0" max="3" min="3" style="5" width="38.43"/>
    <col collapsed="false" customWidth="true" hidden="false" outlineLevel="0" max="4" min="4" style="5" width="4.57"/>
    <col collapsed="false" customWidth="true" hidden="false" outlineLevel="0" max="5" min="5" style="5" width="11"/>
    <col collapsed="false" customWidth="true" hidden="false" outlineLevel="0" max="6" min="6" style="5" width="14.43"/>
    <col collapsed="false" customWidth="true" hidden="false" outlineLevel="0" max="7" min="7" style="5" width="13.43"/>
    <col collapsed="false" customWidth="true" hidden="false" outlineLevel="0" max="8" min="8" style="5" width="8.43"/>
    <col collapsed="false" customWidth="true" hidden="false" outlineLevel="0" max="9" min="9" style="5" width="13.43"/>
    <col collapsed="false" customWidth="true" hidden="false" outlineLevel="0" max="10" min="10" style="5" width="3.43"/>
    <col collapsed="false" customWidth="true" hidden="false" outlineLevel="0" max="11" min="11" style="5" width="15.43"/>
    <col collapsed="false" customWidth="true" hidden="false" outlineLevel="0" max="12" min="12" style="5" width="2.43"/>
    <col collapsed="false" customWidth="true" hidden="false" outlineLevel="0" max="16" min="13" style="0" width="11.43"/>
  </cols>
  <sheetData>
    <row r="2" customFormat="false" ht="13.8" hidden="false" customHeight="false" outlineLevel="0" collapsed="false">
      <c r="A2" s="40" t="s">
        <v>515</v>
      </c>
      <c r="B2" s="2"/>
      <c r="C2" s="132" t="s">
        <v>516</v>
      </c>
      <c r="D2" s="2"/>
      <c r="E2" s="2"/>
      <c r="F2" s="2"/>
      <c r="G2" s="2"/>
      <c r="H2" s="2"/>
      <c r="I2" s="2"/>
      <c r="J2" s="2"/>
      <c r="K2" s="97" t="s">
        <v>80</v>
      </c>
      <c r="L2" s="98"/>
      <c r="M2" s="94" t="s">
        <v>224</v>
      </c>
      <c r="N2" s="94" t="s">
        <v>225</v>
      </c>
      <c r="O2" s="94" t="s">
        <v>226</v>
      </c>
      <c r="P2" s="94" t="s">
        <v>226</v>
      </c>
      <c r="Q2" s="0" t="s">
        <v>517</v>
      </c>
    </row>
    <row r="3" customFormat="false" ht="13.8" hidden="false" customHeight="false" outlineLevel="0" collapsed="false">
      <c r="A3" s="40" t="s">
        <v>518</v>
      </c>
      <c r="B3" s="2"/>
      <c r="C3" s="132" t="s">
        <v>519</v>
      </c>
      <c r="D3" s="2"/>
      <c r="E3" s="2"/>
      <c r="F3" s="2"/>
      <c r="G3" s="2"/>
      <c r="H3" s="2"/>
      <c r="I3" s="2"/>
      <c r="J3" s="2"/>
      <c r="K3" s="97" t="s">
        <v>520</v>
      </c>
      <c r="L3" s="98"/>
      <c r="M3" s="94" t="s">
        <v>521</v>
      </c>
      <c r="N3" s="94" t="s">
        <v>522</v>
      </c>
      <c r="O3" s="94" t="s">
        <v>523</v>
      </c>
      <c r="P3" s="94" t="s">
        <v>524</v>
      </c>
      <c r="Q3" s="0" t="s">
        <v>525</v>
      </c>
    </row>
    <row r="4" customFormat="false" ht="13.8" hidden="false" customHeight="false" outlineLevel="0" collapsed="false">
      <c r="A4" s="40" t="s">
        <v>526</v>
      </c>
      <c r="B4" s="2"/>
      <c r="C4" s="132" t="s">
        <v>527</v>
      </c>
      <c r="D4" s="2"/>
      <c r="E4" s="2"/>
      <c r="F4" s="2"/>
      <c r="G4" s="2"/>
      <c r="H4" s="2"/>
      <c r="I4" s="2"/>
      <c r="J4" s="2"/>
      <c r="K4" s="97" t="s">
        <v>80</v>
      </c>
      <c r="L4" s="98"/>
      <c r="M4" s="94" t="s">
        <v>528</v>
      </c>
      <c r="N4" s="94" t="s">
        <v>528</v>
      </c>
      <c r="O4" s="94" t="s">
        <v>528</v>
      </c>
      <c r="P4" s="94" t="s">
        <v>528</v>
      </c>
      <c r="Q4" s="0" t="s">
        <v>529</v>
      </c>
    </row>
    <row r="5" customFormat="false" ht="13.8" hidden="false" customHeight="false" outlineLevel="0" collapsed="false">
      <c r="B5" s="2"/>
      <c r="C5" s="132" t="s">
        <v>530</v>
      </c>
      <c r="D5" s="2"/>
      <c r="E5" s="2"/>
      <c r="F5" s="2"/>
      <c r="G5" s="2"/>
      <c r="H5" s="2"/>
      <c r="I5" s="2"/>
      <c r="J5" s="2"/>
      <c r="K5" s="97" t="s">
        <v>531</v>
      </c>
      <c r="L5" s="98"/>
      <c r="M5" s="86" t="str">
        <f aca="false">IF(M16,IF(M53=TRUE(),"Self-consumption","PPA"),"")</f>
        <v>PPA</v>
      </c>
      <c r="N5" s="86" t="str">
        <f aca="false">IF(N16,IF(N53=TRUE(),"Self-consumption","PPA"),"")</f>
        <v/>
      </c>
      <c r="O5" s="86" t="str">
        <f aca="false">IF(O16,IF(O53=TRUE(),"Self-consumption","PPA"),"")</f>
        <v>PPA</v>
      </c>
      <c r="P5" s="86" t="str">
        <f aca="false">IF(P16,IF(P53=TRUE(),"Self-consumption","PPA"),"")</f>
        <v>PPA</v>
      </c>
    </row>
    <row r="6" customFormat="false" ht="13.8" hidden="false" customHeight="false" outlineLevel="0" collapsed="false">
      <c r="B6" s="2"/>
      <c r="C6" s="132" t="s">
        <v>215</v>
      </c>
      <c r="D6" s="2"/>
      <c r="E6" s="2"/>
      <c r="F6" s="2"/>
      <c r="G6" s="2"/>
      <c r="H6" s="2"/>
      <c r="I6" s="2"/>
      <c r="J6" s="2"/>
      <c r="K6" s="97" t="s">
        <v>532</v>
      </c>
      <c r="L6" s="98"/>
      <c r="M6" s="133" t="n">
        <f aca="false">M27</f>
        <v>1</v>
      </c>
      <c r="N6" s="133" t="n">
        <f aca="false">N27</f>
        <v>1</v>
      </c>
      <c r="O6" s="133" t="n">
        <f aca="false">O27</f>
        <v>1</v>
      </c>
      <c r="P6" s="133" t="n">
        <f aca="false">P27</f>
        <v>1</v>
      </c>
    </row>
    <row r="7" customFormat="false" ht="13.8" hidden="false" customHeight="false" outlineLevel="0" collapsed="false">
      <c r="B7" s="2"/>
      <c r="C7" s="132" t="s">
        <v>533</v>
      </c>
      <c r="D7" s="2"/>
      <c r="E7" s="2"/>
      <c r="F7" s="2"/>
      <c r="G7" s="2"/>
      <c r="H7" s="2"/>
      <c r="I7" s="2"/>
      <c r="J7" s="2"/>
      <c r="K7" s="97" t="s">
        <v>534</v>
      </c>
      <c r="L7" s="98"/>
      <c r="M7" s="101" t="n">
        <f aca="false">L7+1</f>
        <v>1</v>
      </c>
      <c r="N7" s="101" t="n">
        <f aca="false">M7+1</f>
        <v>2</v>
      </c>
      <c r="O7" s="101" t="n">
        <f aca="false">N7+1</f>
        <v>3</v>
      </c>
      <c r="P7" s="101" t="n">
        <f aca="false">O7+1</f>
        <v>4</v>
      </c>
    </row>
    <row r="8" customFormat="false" ht="13.8" hidden="false" customHeight="false" outlineLevel="0" collapsed="false">
      <c r="B8" s="2"/>
      <c r="C8" s="132" t="s">
        <v>535</v>
      </c>
      <c r="D8" s="2"/>
      <c r="E8" s="2"/>
      <c r="F8" s="2"/>
      <c r="G8" s="2"/>
      <c r="H8" s="2"/>
      <c r="I8" s="2"/>
      <c r="J8" s="2"/>
      <c r="K8" s="97" t="s">
        <v>243</v>
      </c>
      <c r="L8" s="2"/>
      <c r="M8" s="2" t="str">
        <f aca="false">IFERROR(MATCH(M2,#REF!,0),"")</f>
        <v/>
      </c>
      <c r="N8" s="2" t="str">
        <f aca="false">IFERROR(MATCH(N2,#REF!,0),"")</f>
        <v/>
      </c>
      <c r="O8" s="2" t="str">
        <f aca="false">IFERROR(MATCH(O2,#REF!,0),"")</f>
        <v/>
      </c>
      <c r="P8" s="2" t="str">
        <f aca="false">IFERROR(MATCH(P2,#REF!,0),"")</f>
        <v/>
      </c>
    </row>
    <row r="9" customFormat="false" ht="13.8" hidden="false" customHeight="false" outlineLevel="0" collapsed="false">
      <c r="B9" s="2"/>
      <c r="C9" s="132" t="s">
        <v>536</v>
      </c>
      <c r="D9" s="2"/>
      <c r="E9" s="2"/>
      <c r="F9" s="2"/>
      <c r="G9" s="2"/>
      <c r="H9" s="2"/>
      <c r="I9" s="2"/>
      <c r="J9" s="2"/>
      <c r="K9" s="97" t="s">
        <v>537</v>
      </c>
      <c r="L9" s="2"/>
      <c r="M9" s="134" t="str">
        <f aca="false">IFERROR(IF(M16,INDEX(#REF!,,M8),""),"")</f>
        <v/>
      </c>
      <c r="N9" s="134" t="str">
        <f aca="false">IFERROR(IF(N16,INDEX(#REF!,,N8),""),"")</f>
        <v/>
      </c>
      <c r="O9" s="134" t="str">
        <f aca="false">IFERROR(IF(O16,INDEX(#REF!,,O8),""),"")</f>
        <v/>
      </c>
      <c r="P9" s="134" t="str">
        <f aca="false">IFERROR(IF(P16,INDEX(#REF!,,P8),""),"")</f>
        <v/>
      </c>
    </row>
    <row r="10" customFormat="false" ht="13.8" hidden="false" customHeight="false" outlineLevel="0" collapsed="false">
      <c r="A10" s="40" t="s">
        <v>538</v>
      </c>
      <c r="B10" s="2"/>
      <c r="C10" s="132" t="s">
        <v>539</v>
      </c>
      <c r="D10" s="2"/>
      <c r="E10" s="2"/>
      <c r="F10" s="2"/>
      <c r="G10" s="2"/>
      <c r="H10" s="2"/>
      <c r="I10" s="2"/>
      <c r="J10" s="2"/>
      <c r="K10" s="97" t="s">
        <v>540</v>
      </c>
      <c r="L10" s="2"/>
      <c r="M10" s="135" t="s">
        <v>541</v>
      </c>
      <c r="N10" s="135" t="s">
        <v>542</v>
      </c>
      <c r="O10" s="135" t="s">
        <v>541</v>
      </c>
      <c r="P10" s="135" t="s">
        <v>543</v>
      </c>
    </row>
    <row r="11" customFormat="false" ht="13.8" hidden="false" customHeight="false" outlineLevel="0" collapsed="false">
      <c r="B11" s="1"/>
      <c r="C11" s="1"/>
      <c r="D11" s="1"/>
      <c r="E11" s="1"/>
      <c r="F11" s="1"/>
      <c r="G11" s="1"/>
      <c r="H11" s="1"/>
      <c r="I11" s="1"/>
      <c r="J11" s="1"/>
      <c r="K11" s="1"/>
      <c r="L11" s="1"/>
      <c r="M11" s="1"/>
      <c r="N11" s="1"/>
      <c r="O11" s="1"/>
      <c r="P11" s="1"/>
    </row>
    <row r="12" customFormat="false" ht="13.8" hidden="false" customHeight="false" outlineLevel="0" collapsed="false">
      <c r="B12" s="11" t="n">
        <f aca="false">1</f>
        <v>1</v>
      </c>
      <c r="C12" s="11" t="s">
        <v>544</v>
      </c>
      <c r="D12" s="11"/>
      <c r="E12" s="11"/>
      <c r="F12" s="11"/>
      <c r="G12" s="11"/>
      <c r="H12" s="11"/>
      <c r="I12" s="11"/>
      <c r="J12" s="11"/>
      <c r="K12" s="11"/>
      <c r="L12" s="11"/>
      <c r="M12" s="11"/>
      <c r="N12" s="11"/>
      <c r="O12" s="11"/>
      <c r="P12" s="11"/>
    </row>
    <row r="13" customFormat="false" ht="13.8" hidden="false" customHeight="false" outlineLevel="0" collapsed="false">
      <c r="B13" s="1"/>
      <c r="C13" s="1"/>
      <c r="D13" s="1"/>
      <c r="E13" s="1"/>
      <c r="F13" s="1"/>
      <c r="G13" s="1"/>
      <c r="H13" s="1"/>
      <c r="I13" s="1"/>
      <c r="J13" s="1"/>
      <c r="K13" s="1"/>
      <c r="L13" s="12"/>
      <c r="M13" s="1"/>
      <c r="N13" s="1"/>
      <c r="O13" s="1"/>
      <c r="P13" s="1"/>
    </row>
    <row r="14" customFormat="false" ht="14.9" hidden="false" customHeight="false" outlineLevel="0" collapsed="false">
      <c r="A14" s="40" t="s">
        <v>545</v>
      </c>
      <c r="B14" s="1"/>
      <c r="C14" s="1" t="s">
        <v>546</v>
      </c>
      <c r="D14" s="1"/>
      <c r="E14" s="1"/>
      <c r="F14" s="14" t="s">
        <v>547</v>
      </c>
      <c r="G14" s="1"/>
      <c r="H14" s="136" t="n">
        <f aca="false">COUNTIF(M14:O14,TRUE())</f>
        <v>2</v>
      </c>
      <c r="I14" s="1"/>
      <c r="J14" s="1"/>
      <c r="K14" s="15" t="s">
        <v>109</v>
      </c>
      <c r="L14" s="12"/>
      <c r="M14" s="63" t="b">
        <f aca="false">TRUE()</f>
        <v>1</v>
      </c>
      <c r="N14" s="10" t="b">
        <f aca="false">FALSE()</f>
        <v>0</v>
      </c>
      <c r="O14" s="63" t="b">
        <f aca="false">TRUE()</f>
        <v>1</v>
      </c>
      <c r="P14" s="63" t="b">
        <f aca="false">TRUE()</f>
        <v>1</v>
      </c>
      <c r="Q14" s="137" t="b">
        <v>0</v>
      </c>
    </row>
    <row r="15" customFormat="false" ht="14.9" hidden="false" customHeight="false" outlineLevel="0" collapsed="false">
      <c r="B15" s="1"/>
      <c r="C15" s="1" t="s">
        <v>548</v>
      </c>
      <c r="D15" s="1"/>
      <c r="E15" s="1"/>
      <c r="F15" s="1"/>
      <c r="G15" s="1"/>
      <c r="H15" s="1"/>
      <c r="I15" s="1"/>
      <c r="J15" s="1"/>
      <c r="K15" s="15" t="s">
        <v>109</v>
      </c>
      <c r="L15" s="12"/>
      <c r="M15" s="10" t="b">
        <f aca="false">TRUE()</f>
        <v>1</v>
      </c>
      <c r="N15" s="10" t="b">
        <f aca="false">FALSE()</f>
        <v>0</v>
      </c>
      <c r="O15" s="10" t="b">
        <f aca="false">TRUE()</f>
        <v>1</v>
      </c>
      <c r="P15" s="10" t="b">
        <f aca="false">TRUE()</f>
        <v>1</v>
      </c>
    </row>
    <row r="16" customFormat="false" ht="14.9" hidden="false" customHeight="false" outlineLevel="0" collapsed="false">
      <c r="A16" s="40" t="s">
        <v>549</v>
      </c>
      <c r="C16" s="5" t="s">
        <v>550</v>
      </c>
      <c r="F16" s="14" t="s">
        <v>547</v>
      </c>
      <c r="H16" s="136" t="n">
        <f aca="false">COUNTIF(M16:O16,TRUE())</f>
        <v>2</v>
      </c>
      <c r="K16" s="15" t="s">
        <v>109</v>
      </c>
      <c r="L16" s="12"/>
      <c r="M16" s="10" t="b">
        <f aca="false">AND(M14,M15)</f>
        <v>1</v>
      </c>
      <c r="N16" s="10" t="b">
        <f aca="false">FALSE()</f>
        <v>0</v>
      </c>
      <c r="O16" s="10" t="b">
        <f aca="false">AND(O14,O15)</f>
        <v>1</v>
      </c>
      <c r="P16" s="10" t="b">
        <f aca="false">AND(P14,P15)</f>
        <v>1</v>
      </c>
    </row>
    <row r="17" customFormat="false" ht="13.8" hidden="false" customHeight="false" outlineLevel="0" collapsed="false">
      <c r="B17" s="1"/>
      <c r="C17" s="1"/>
      <c r="D17" s="1"/>
      <c r="E17" s="1"/>
      <c r="F17" s="1"/>
      <c r="G17" s="1"/>
      <c r="H17" s="1"/>
      <c r="I17" s="1"/>
      <c r="J17" s="1"/>
      <c r="K17" s="1"/>
      <c r="L17" s="12"/>
      <c r="M17" s="1"/>
      <c r="N17" s="1"/>
      <c r="O17" s="1"/>
      <c r="P17" s="1"/>
    </row>
    <row r="18" customFormat="false" ht="13.8" hidden="false" customHeight="false" outlineLevel="0" collapsed="false">
      <c r="B18" s="11" t="n">
        <f aca="false">B12+1</f>
        <v>2</v>
      </c>
      <c r="C18" s="11" t="s">
        <v>129</v>
      </c>
      <c r="D18" s="11"/>
      <c r="E18" s="11"/>
      <c r="F18" s="11"/>
      <c r="G18" s="11"/>
      <c r="H18" s="11"/>
      <c r="I18" s="11"/>
      <c r="J18" s="11"/>
      <c r="K18" s="11"/>
      <c r="L18" s="11"/>
      <c r="M18" s="11"/>
      <c r="N18" s="11"/>
      <c r="O18" s="11"/>
      <c r="P18" s="11"/>
    </row>
    <row r="19" customFormat="false" ht="13.8" hidden="false" customHeight="false" outlineLevel="0" collapsed="false">
      <c r="B19" s="1"/>
      <c r="C19" s="1"/>
      <c r="D19" s="1"/>
      <c r="E19" s="1"/>
      <c r="F19" s="1"/>
      <c r="G19" s="1"/>
      <c r="H19" s="1"/>
      <c r="I19" s="1"/>
      <c r="L19" s="12"/>
    </row>
    <row r="20" customFormat="false" ht="13.8" hidden="false" customHeight="false" outlineLevel="0" collapsed="false">
      <c r="B20" s="1"/>
      <c r="C20" s="14" t="s">
        <v>551</v>
      </c>
      <c r="D20" s="1"/>
      <c r="E20" s="1"/>
      <c r="F20" s="14" t="s">
        <v>552</v>
      </c>
      <c r="G20" s="14" t="s">
        <v>553</v>
      </c>
      <c r="H20" s="14"/>
      <c r="I20" s="14" t="s">
        <v>554</v>
      </c>
      <c r="L20" s="12"/>
    </row>
    <row r="21" customFormat="false" ht="14.9" hidden="false" customHeight="false" outlineLevel="0" collapsed="false">
      <c r="B21" s="1"/>
      <c r="C21" s="5" t="s">
        <v>555</v>
      </c>
      <c r="E21" s="15" t="s">
        <v>108</v>
      </c>
      <c r="F21" s="16" t="n">
        <f aca="false">IF($I$21,Dashboard!$AA$139,0)</f>
        <v>0</v>
      </c>
      <c r="G21" s="29" t="n">
        <f aca="false">SUMPRODUCT(M21:O21,$M$426:$O$426)</f>
        <v>0</v>
      </c>
      <c r="H21" s="15" t="s">
        <v>109</v>
      </c>
      <c r="I21" s="10" t="n">
        <f aca="false">IF(sensi=1,Dashboard!$Z$139,FALSE())</f>
        <v>0</v>
      </c>
      <c r="K21" s="15" t="s">
        <v>107</v>
      </c>
      <c r="L21" s="12"/>
      <c r="M21" s="65"/>
      <c r="N21" s="65"/>
      <c r="O21" s="65"/>
      <c r="P21" s="65"/>
    </row>
    <row r="22" customFormat="false" ht="14.9" hidden="false" customHeight="false" outlineLevel="0" collapsed="false">
      <c r="B22" s="1"/>
      <c r="C22" s="5" t="s">
        <v>97</v>
      </c>
      <c r="G22" s="29" t="n">
        <f aca="false">SUMPRODUCT(M22:O22,$M$426:$O$426)</f>
        <v>0</v>
      </c>
      <c r="H22" s="15" t="s">
        <v>109</v>
      </c>
      <c r="I22" s="10" t="n">
        <f aca="false">IF(sensi=1,Dashboard!$AB$139,FALSE())</f>
        <v>0</v>
      </c>
      <c r="K22" s="15" t="s">
        <v>107</v>
      </c>
      <c r="L22" s="12"/>
      <c r="M22" s="65"/>
      <c r="N22" s="65"/>
      <c r="O22" s="65"/>
      <c r="P22" s="65"/>
    </row>
    <row r="23" customFormat="false" ht="13.8" hidden="false" customHeight="false" outlineLevel="0" collapsed="false">
      <c r="B23" s="1"/>
      <c r="C23" s="1"/>
      <c r="D23" s="1"/>
      <c r="E23" s="1"/>
      <c r="F23" s="1"/>
      <c r="G23" s="1"/>
      <c r="H23" s="1"/>
      <c r="I23" s="1"/>
      <c r="J23" s="1"/>
      <c r="K23" s="1"/>
      <c r="L23" s="12"/>
      <c r="M23" s="1"/>
      <c r="N23" s="1"/>
      <c r="O23" s="1"/>
      <c r="P23" s="1"/>
    </row>
    <row r="24" customFormat="false" ht="13.8" hidden="false" customHeight="false" outlineLevel="0" collapsed="false">
      <c r="B24" s="1"/>
      <c r="C24" s="6" t="s">
        <v>556</v>
      </c>
      <c r="D24" s="1"/>
      <c r="E24" s="1"/>
      <c r="F24" s="1"/>
      <c r="G24" s="1"/>
      <c r="H24" s="1"/>
      <c r="I24" s="1"/>
      <c r="J24" s="1"/>
      <c r="K24" s="138"/>
      <c r="L24" s="12"/>
      <c r="M24" s="138"/>
      <c r="N24" s="138"/>
      <c r="O24" s="138"/>
      <c r="P24" s="138"/>
    </row>
    <row r="25" customFormat="false" ht="13.8" hidden="false" customHeight="false" outlineLevel="0" collapsed="false">
      <c r="A25" s="40" t="s">
        <v>557</v>
      </c>
      <c r="B25" s="1"/>
      <c r="C25" s="1" t="s">
        <v>558</v>
      </c>
      <c r="D25" s="1"/>
      <c r="E25" s="1"/>
      <c r="F25" s="1"/>
      <c r="G25" s="1"/>
      <c r="H25" s="1"/>
      <c r="J25" s="1"/>
      <c r="K25" s="15" t="s">
        <v>25</v>
      </c>
      <c r="L25" s="12"/>
      <c r="M25" s="66" t="n">
        <v>45742</v>
      </c>
      <c r="N25" s="66" t="n">
        <v>45808</v>
      </c>
      <c r="O25" s="66" t="n">
        <v>45808</v>
      </c>
      <c r="P25" s="66" t="n">
        <v>45808</v>
      </c>
    </row>
    <row r="26" customFormat="false" ht="13.8" hidden="false" customHeight="false" outlineLevel="0" collapsed="false">
      <c r="A26" s="40" t="s">
        <v>559</v>
      </c>
      <c r="B26" s="1"/>
      <c r="C26" s="1" t="s">
        <v>560</v>
      </c>
      <c r="D26" s="1"/>
      <c r="E26" s="1"/>
      <c r="F26" s="1"/>
      <c r="G26" s="1"/>
      <c r="H26" s="1"/>
      <c r="I26" s="1"/>
      <c r="J26" s="1"/>
      <c r="K26" s="15" t="s">
        <v>25</v>
      </c>
      <c r="L26" s="12"/>
      <c r="M26" s="66" t="n">
        <v>46106</v>
      </c>
      <c r="N26" s="66" t="n">
        <v>46172</v>
      </c>
      <c r="O26" s="66" t="n">
        <v>46172</v>
      </c>
      <c r="P26" s="66" t="n">
        <v>46172</v>
      </c>
    </row>
    <row r="27" customFormat="false" ht="13.8" hidden="false" customHeight="false" outlineLevel="0" collapsed="false">
      <c r="B27" s="1"/>
      <c r="C27" s="1" t="s">
        <v>561</v>
      </c>
      <c r="D27" s="1"/>
      <c r="E27" s="1"/>
      <c r="F27" s="1"/>
      <c r="G27" s="1"/>
      <c r="H27" s="1"/>
      <c r="I27" s="1"/>
      <c r="J27" s="1"/>
      <c r="K27" s="15" t="s">
        <v>532</v>
      </c>
      <c r="L27" s="12"/>
      <c r="M27" s="135" t="n">
        <v>1</v>
      </c>
      <c r="N27" s="135" t="n">
        <v>1</v>
      </c>
      <c r="O27" s="135" t="n">
        <v>1</v>
      </c>
      <c r="P27" s="135" t="n">
        <v>1</v>
      </c>
    </row>
    <row r="28" customFormat="false" ht="13.8" hidden="false" customHeight="false" outlineLevel="0" collapsed="false">
      <c r="B28" s="1"/>
      <c r="C28" s="1"/>
      <c r="D28" s="1"/>
      <c r="E28" s="1"/>
      <c r="F28" s="1"/>
      <c r="G28" s="1"/>
      <c r="H28" s="1"/>
      <c r="I28" s="1"/>
      <c r="J28" s="1"/>
      <c r="K28" s="1"/>
      <c r="L28" s="12"/>
      <c r="M28" s="1"/>
      <c r="N28" s="1"/>
      <c r="O28" s="1"/>
      <c r="P28" s="1"/>
    </row>
    <row r="29" customFormat="false" ht="13.8" hidden="false" customHeight="false" outlineLevel="0" collapsed="false">
      <c r="B29" s="1"/>
      <c r="C29" s="6" t="s">
        <v>562</v>
      </c>
      <c r="D29" s="1"/>
      <c r="E29" s="1"/>
      <c r="F29" s="1"/>
      <c r="G29" s="1"/>
      <c r="H29" s="1"/>
      <c r="I29" s="1"/>
      <c r="J29" s="1"/>
      <c r="K29" s="1"/>
      <c r="L29" s="12"/>
      <c r="M29" s="1"/>
      <c r="N29" s="1"/>
      <c r="O29" s="1"/>
      <c r="P29" s="1"/>
    </row>
    <row r="30" customFormat="false" ht="13.8" hidden="false" customHeight="false" outlineLevel="0" collapsed="false">
      <c r="A30" s="40" t="s">
        <v>563</v>
      </c>
      <c r="B30" s="1"/>
      <c r="C30" s="1" t="s">
        <v>564</v>
      </c>
      <c r="D30" s="1"/>
      <c r="E30" s="1"/>
      <c r="F30" s="1"/>
      <c r="G30" s="1"/>
      <c r="H30" s="1"/>
      <c r="I30" s="1"/>
      <c r="J30" s="1"/>
      <c r="K30" s="15" t="s">
        <v>25</v>
      </c>
      <c r="L30" s="12"/>
      <c r="M30" s="26" t="n">
        <f aca="false">IF(M$16=TRUE(),M26+1,)</f>
        <v>46107</v>
      </c>
      <c r="N30" s="26" t="n">
        <f aca="false">IF(N$16=TRUE(),N26+1,)</f>
        <v>0</v>
      </c>
      <c r="O30" s="26" t="n">
        <f aca="false">IF(O$16=TRUE(),O26+1,)</f>
        <v>46173</v>
      </c>
      <c r="P30" s="26" t="n">
        <f aca="false">IF(P$16=TRUE(),P26+1,)</f>
        <v>46173</v>
      </c>
    </row>
    <row r="31" customFormat="false" ht="13.8" hidden="false" customHeight="false" outlineLevel="0" collapsed="false">
      <c r="B31" s="1"/>
      <c r="C31" s="1" t="s">
        <v>565</v>
      </c>
      <c r="D31" s="1"/>
      <c r="E31" s="1"/>
      <c r="F31" s="1"/>
      <c r="G31" s="1"/>
      <c r="H31" s="1"/>
      <c r="I31" s="1"/>
      <c r="J31" s="1"/>
      <c r="K31" s="15" t="s">
        <v>108</v>
      </c>
      <c r="L31" s="12"/>
      <c r="M31" s="67"/>
      <c r="N31" s="67"/>
      <c r="O31" s="67"/>
      <c r="P31" s="67"/>
    </row>
    <row r="32" customFormat="false" ht="13.8" hidden="false" customHeight="false" outlineLevel="0" collapsed="false">
      <c r="A32" s="40" t="s">
        <v>566</v>
      </c>
      <c r="B32" s="1"/>
      <c r="C32" s="1" t="s">
        <v>567</v>
      </c>
      <c r="D32" s="1"/>
      <c r="E32" s="1"/>
      <c r="F32" s="1"/>
      <c r="G32" s="1"/>
      <c r="H32" s="1"/>
      <c r="I32" s="1"/>
      <c r="J32" s="1"/>
      <c r="K32" s="15" t="s">
        <v>25</v>
      </c>
      <c r="L32" s="12"/>
      <c r="M32" s="111" t="n">
        <f aca="false">M30+45</f>
        <v>46152</v>
      </c>
      <c r="N32" s="111" t="n">
        <f aca="false">IF(N$16=TRUE(),IF(N31&gt;0,EDATE(N30,N31)-1,N30-1),)</f>
        <v>0</v>
      </c>
      <c r="O32" s="111" t="n">
        <f aca="false">O30+45</f>
        <v>46218</v>
      </c>
      <c r="P32" s="111" t="n">
        <f aca="false">P30+45</f>
        <v>46218</v>
      </c>
    </row>
    <row r="33" customFormat="false" ht="13.8" hidden="false" customHeight="false" outlineLevel="0" collapsed="false">
      <c r="A33" s="40" t="s">
        <v>568</v>
      </c>
      <c r="B33" s="1"/>
      <c r="C33" s="1" t="s">
        <v>569</v>
      </c>
      <c r="D33" s="1"/>
      <c r="E33" s="1"/>
      <c r="F33" s="1"/>
      <c r="G33" s="1"/>
      <c r="H33" s="1"/>
      <c r="I33" s="1"/>
      <c r="J33" s="1"/>
      <c r="K33" s="15" t="s">
        <v>25</v>
      </c>
      <c r="L33" s="12"/>
      <c r="M33" s="111" t="n">
        <f aca="false">IF(M$16=TRUE(),M32+1,)</f>
        <v>46153</v>
      </c>
      <c r="N33" s="111" t="n">
        <f aca="false">IF(N$16=TRUE(),N32+1,)</f>
        <v>0</v>
      </c>
      <c r="O33" s="111" t="n">
        <f aca="false">IF(O$16=TRUE(),O32+1,)</f>
        <v>46219</v>
      </c>
      <c r="P33" s="111" t="n">
        <f aca="false">IF(P$16=TRUE(),P32+1,)</f>
        <v>46219</v>
      </c>
    </row>
    <row r="34" customFormat="false" ht="13.8" hidden="false" customHeight="false" outlineLevel="0" collapsed="false">
      <c r="A34" s="40"/>
      <c r="B34" s="1"/>
      <c r="C34" s="1" t="s">
        <v>570</v>
      </c>
      <c r="D34" s="1"/>
      <c r="E34" s="1"/>
      <c r="F34" s="1"/>
      <c r="G34" s="1"/>
      <c r="H34" s="1"/>
      <c r="I34" s="1"/>
      <c r="J34" s="1"/>
      <c r="K34" s="15" t="s">
        <v>108</v>
      </c>
      <c r="L34" s="12"/>
      <c r="M34" s="64" t="n">
        <v>240</v>
      </c>
      <c r="N34" s="64" t="n">
        <v>240</v>
      </c>
      <c r="O34" s="64" t="n">
        <v>240</v>
      </c>
      <c r="P34" s="64" t="n">
        <v>240</v>
      </c>
    </row>
    <row r="35" customFormat="false" ht="13.8" hidden="false" customHeight="false" outlineLevel="0" collapsed="false">
      <c r="A35" s="40"/>
      <c r="B35" s="1"/>
      <c r="C35" s="1" t="s">
        <v>570</v>
      </c>
      <c r="D35" s="1"/>
      <c r="E35" s="1"/>
      <c r="F35" s="1"/>
      <c r="G35" s="1"/>
      <c r="H35" s="1"/>
      <c r="I35" s="1"/>
      <c r="J35" s="1"/>
      <c r="K35" s="15" t="s">
        <v>108</v>
      </c>
      <c r="L35" s="12"/>
      <c r="M35" s="16" t="n">
        <f aca="false">IF(AND($I$21,M$21=1),$F$21,M$34)</f>
        <v>240</v>
      </c>
      <c r="N35" s="16" t="n">
        <f aca="false">IF(AND($I$21,N$21=1),$F$21,N$34)</f>
        <v>240</v>
      </c>
      <c r="O35" s="16" t="n">
        <f aca="false">IF(AND($I$21,O$21=1),$F$21,O$34)</f>
        <v>240</v>
      </c>
      <c r="P35" s="16" t="n">
        <f aca="false">IF(AND($I$21,P$21=1),$F$21,P$34)</f>
        <v>240</v>
      </c>
    </row>
    <row r="36" customFormat="false" ht="13.8" hidden="false" customHeight="false" outlineLevel="0" collapsed="false">
      <c r="A36" s="40" t="s">
        <v>571</v>
      </c>
      <c r="B36" s="1"/>
      <c r="C36" s="1" t="s">
        <v>572</v>
      </c>
      <c r="D36" s="1"/>
      <c r="E36" s="1"/>
      <c r="F36" s="1"/>
      <c r="G36" s="1"/>
      <c r="H36" s="1"/>
      <c r="I36" s="1"/>
      <c r="J36" s="1"/>
      <c r="K36" s="15" t="s">
        <v>25</v>
      </c>
      <c r="L36" s="12"/>
      <c r="M36" s="111" t="n">
        <f aca="false">IF(M$16=TRUE(),IF(M35&gt;0,EDATE(M33,M35)-1,M33-1),)</f>
        <v>53457</v>
      </c>
      <c r="N36" s="111" t="n">
        <f aca="false">IF(N$16=TRUE(),IF(N35&gt;0,EDATE(N33,N35)-1,N33-1),)</f>
        <v>0</v>
      </c>
      <c r="O36" s="111" t="n">
        <f aca="false">IF(O$16=TRUE(),IF(O35&gt;0,EDATE(O33,O35)-1,O33-1),)</f>
        <v>53523</v>
      </c>
      <c r="P36" s="111" t="n">
        <f aca="false">IF(P$16=TRUE(),IF(P35&gt;0,EDATE(P33,P35)-1,P33-1),)</f>
        <v>53523</v>
      </c>
    </row>
    <row r="37" customFormat="false" ht="13.8" hidden="false" customHeight="false" outlineLevel="0" collapsed="false">
      <c r="A37" s="40" t="s">
        <v>573</v>
      </c>
      <c r="B37" s="1"/>
      <c r="C37" s="1" t="s">
        <v>574</v>
      </c>
      <c r="D37" s="1"/>
      <c r="E37" s="1"/>
      <c r="F37" s="1"/>
      <c r="G37" s="1"/>
      <c r="H37" s="1"/>
      <c r="I37" s="1"/>
      <c r="J37" s="1"/>
      <c r="K37" s="15" t="s">
        <v>25</v>
      </c>
      <c r="L37" s="12"/>
      <c r="M37" s="111" t="n">
        <f aca="false">IF(M$16=TRUE(),M36+1,)</f>
        <v>53458</v>
      </c>
      <c r="N37" s="111" t="n">
        <f aca="false">IF(N$16=TRUE(),N36+1,)</f>
        <v>0</v>
      </c>
      <c r="O37" s="111" t="n">
        <f aca="false">IF(O$16=TRUE(),O36+1,)</f>
        <v>53524</v>
      </c>
      <c r="P37" s="111" t="n">
        <f aca="false">IF(P$16=TRUE(),P36+1,)</f>
        <v>53524</v>
      </c>
    </row>
    <row r="38" customFormat="false" ht="13.8" hidden="false" customHeight="false" outlineLevel="0" collapsed="false">
      <c r="B38" s="1"/>
      <c r="C38" s="1" t="s">
        <v>575</v>
      </c>
      <c r="D38" s="1"/>
      <c r="E38" s="1"/>
      <c r="F38" s="1"/>
      <c r="G38" s="1"/>
      <c r="H38" s="1"/>
      <c r="I38" s="1"/>
      <c r="J38" s="1"/>
      <c r="K38" s="15" t="s">
        <v>108</v>
      </c>
      <c r="L38" s="12"/>
      <c r="M38" s="16" t="e">
        <f aca="false">IF(M$16=TRUE(),IF(AND(sensi=1,$I$21=TRUE(),M21=1),0,IF(AND(sensi=1,scenario=1,Dashboard!$Y$139&lt;&gt;0),Dashboard!$Y$139-M35,INDEX(M41:M42,scenario,))),)</f>
        <v>#REF!</v>
      </c>
      <c r="N38" s="16" t="n">
        <f aca="false">IF(N$16=TRUE(),IF(AND(sensi=1,$I$21=TRUE(),N21=1),0,IF(AND(sensi=1,scenario=1,Dashboard!$Y$139&lt;&gt;0),Dashboard!$Y$139-N35,INDEX(N41:N42,scenario,))),)</f>
        <v>0</v>
      </c>
      <c r="O38" s="16" t="e">
        <f aca="false">IF(O$16=TRUE(),IF(AND(sensi=1,$I$21=TRUE(),O21=1),0,IF(AND(sensi=1,scenario=1,Dashboard!$Y$139&lt;&gt;0),Dashboard!$Y$139-O35,INDEX(O41:O42,scenario,))),)</f>
        <v>#REF!</v>
      </c>
      <c r="P38" s="16" t="e">
        <f aca="false">IF(P$16=TRUE(),IF(AND(sensi=1,$I$21=TRUE(),P21=1),0,IF(AND(sensi=1,scenario=1,Dashboard!$Y$139&lt;&gt;0),Dashboard!$Y$139-P35,INDEX(P41:P42,scenario,))),)</f>
        <v>#REF!</v>
      </c>
    </row>
    <row r="39" customFormat="false" ht="13.8" hidden="false" customHeight="false" outlineLevel="0" collapsed="false">
      <c r="A39" s="40" t="s">
        <v>576</v>
      </c>
      <c r="B39" s="1"/>
      <c r="C39" s="1" t="s">
        <v>577</v>
      </c>
      <c r="D39" s="1"/>
      <c r="E39" s="1"/>
      <c r="F39" s="1"/>
      <c r="G39" s="1"/>
      <c r="H39" s="1"/>
      <c r="I39" s="1"/>
      <c r="J39" s="1"/>
      <c r="K39" s="15" t="s">
        <v>25</v>
      </c>
      <c r="L39" s="12"/>
      <c r="M39" s="111" t="n">
        <f aca="false">M37+2000</f>
        <v>55458</v>
      </c>
      <c r="N39" s="111" t="n">
        <f aca="false">IF(N$16=TRUE(),IF(N38&gt;0,EDATE(N37,N38)-1,N37-1),)</f>
        <v>0</v>
      </c>
      <c r="O39" s="111" t="n">
        <f aca="false">O37+2000</f>
        <v>55524</v>
      </c>
      <c r="P39" s="111" t="n">
        <f aca="false">P37+2000</f>
        <v>55524</v>
      </c>
    </row>
    <row r="40" customFormat="false" ht="13.8" hidden="false" customHeight="false" outlineLevel="0" collapsed="false">
      <c r="B40" s="1"/>
      <c r="C40" s="1"/>
      <c r="D40" s="1"/>
      <c r="E40" s="1"/>
      <c r="F40" s="1"/>
      <c r="G40" s="1"/>
      <c r="H40" s="1"/>
      <c r="I40" s="1"/>
      <c r="J40" s="1"/>
      <c r="K40" s="1"/>
      <c r="L40" s="12"/>
      <c r="M40" s="1"/>
      <c r="N40" s="1"/>
      <c r="O40" s="1"/>
      <c r="P40" s="1"/>
    </row>
    <row r="41" customFormat="false" ht="13.8" hidden="false" customHeight="false" outlineLevel="0" collapsed="false">
      <c r="B41" s="1"/>
      <c r="C41" s="1" t="s">
        <v>427</v>
      </c>
      <c r="D41" s="1"/>
      <c r="E41" s="1"/>
      <c r="F41" s="1"/>
      <c r="G41" s="1"/>
      <c r="H41" s="1"/>
      <c r="I41" s="1"/>
      <c r="J41" s="1"/>
      <c r="K41" s="15" t="s">
        <v>108</v>
      </c>
      <c r="L41" s="12"/>
      <c r="M41" s="16" t="e">
        <f aca="false">IF(M16,INDEX(#REF!,,M9),)</f>
        <v>#VALUE!</v>
      </c>
      <c r="N41" s="16" t="n">
        <f aca="false">IF(N16,INDEX(#REF!,,N9),)</f>
        <v>0</v>
      </c>
      <c r="O41" s="16" t="e">
        <f aca="false">IF(O16,INDEX(#REF!,,O9),)</f>
        <v>#VALUE!</v>
      </c>
      <c r="P41" s="16" t="e">
        <f aca="false">IF(P16,INDEX(#REF!,,P9),)</f>
        <v>#VALUE!</v>
      </c>
    </row>
    <row r="42" customFormat="false" ht="13.8" hidden="false" customHeight="false" outlineLevel="0" collapsed="false">
      <c r="B42" s="1"/>
      <c r="C42" s="1" t="s">
        <v>578</v>
      </c>
      <c r="D42" s="1"/>
      <c r="E42" s="1"/>
      <c r="F42" s="1"/>
      <c r="G42" s="1"/>
      <c r="H42" s="1"/>
      <c r="I42" s="1"/>
      <c r="J42" s="1"/>
      <c r="K42" s="15" t="s">
        <v>108</v>
      </c>
      <c r="L42" s="12"/>
      <c r="M42" s="64" t="n">
        <v>120</v>
      </c>
      <c r="N42" s="64" t="n">
        <v>120</v>
      </c>
      <c r="O42" s="64" t="n">
        <v>120</v>
      </c>
      <c r="P42" s="64" t="n">
        <v>120</v>
      </c>
    </row>
    <row r="43" customFormat="false" ht="13.8" hidden="false" customHeight="false" outlineLevel="0" collapsed="false">
      <c r="B43" s="1"/>
      <c r="C43" s="1" t="s">
        <v>579</v>
      </c>
      <c r="D43" s="1"/>
      <c r="E43" s="1"/>
      <c r="F43" s="1"/>
      <c r="G43" s="1"/>
      <c r="H43" s="1"/>
      <c r="I43" s="1"/>
      <c r="J43" s="1"/>
      <c r="K43" s="15" t="s">
        <v>25</v>
      </c>
      <c r="L43" s="12"/>
      <c r="M43" s="111" t="e">
        <f aca="false">IF(M$16=TRUE(),IF(M$41&gt;0,EDATE(M$37,IF(sensi=1,IF(AND(M$21=1,$I$21),0,M$41+Dashboard!$Y$139),M$41))-1,M$37-1),)</f>
        <v>#VALUE!</v>
      </c>
      <c r="N43" s="111" t="n">
        <f aca="false">IF(N$16=TRUE(),IF(N$41&gt;0,EDATE(N$37,IF(sensi=1,IF(AND(N$21=1,$I$21),0,N$41+Dashboard!$Y$139),N$41))-1,N$37-1),)</f>
        <v>0</v>
      </c>
      <c r="O43" s="111" t="e">
        <f aca="false">IF(O$16=TRUE(),IF(O$41&gt;0,EDATE(O$37,IF(sensi=1,IF(AND(O$21=1,$I$21),0,O$41+Dashboard!$Y$139),O$41))-1,O$37-1),)</f>
        <v>#VALUE!</v>
      </c>
      <c r="P43" s="111" t="e">
        <f aca="false">IF(P$16=TRUE(),IF(P$41&gt;0,EDATE(P$37,IF(sensi=1,IF(AND(P$21=1,$I$21),0,P$41+Dashboard!$Y$139),P$41))-1,P$37-1),)</f>
        <v>#VALUE!</v>
      </c>
    </row>
    <row r="44" customFormat="false" ht="13.8" hidden="false" customHeight="false" outlineLevel="0" collapsed="false">
      <c r="B44" s="1"/>
      <c r="C44" s="1" t="s">
        <v>580</v>
      </c>
      <c r="D44" s="1"/>
      <c r="E44" s="1"/>
      <c r="F44" s="1"/>
      <c r="G44" s="1"/>
      <c r="H44" s="1"/>
      <c r="I44" s="1"/>
      <c r="J44" s="1"/>
      <c r="K44" s="15" t="s">
        <v>66</v>
      </c>
      <c r="L44" s="12"/>
      <c r="M44" s="24" t="e">
        <f aca="false">YEARFRAC(M30,M43,1)</f>
        <v>#VALUE!</v>
      </c>
      <c r="N44" s="24" t="n">
        <f aca="false">YEARFRAC(N30,N43,1)</f>
        <v>0</v>
      </c>
      <c r="O44" s="24" t="e">
        <f aca="false">YEARFRAC(O30,O43,1)</f>
        <v>#VALUE!</v>
      </c>
      <c r="P44" s="24" t="e">
        <f aca="false">YEARFRAC(P30,P43,1)</f>
        <v>#VALUE!</v>
      </c>
    </row>
    <row r="45" customFormat="false" ht="13.8" hidden="false" customHeight="false" outlineLevel="0" collapsed="false">
      <c r="L45" s="12"/>
    </row>
    <row r="46" customFormat="false" ht="13.8" hidden="false" customHeight="false" outlineLevel="0" collapsed="false">
      <c r="C46" s="1" t="s">
        <v>581</v>
      </c>
      <c r="K46" s="15" t="s">
        <v>25</v>
      </c>
      <c r="L46" s="12"/>
      <c r="M46" s="111" t="n">
        <f aca="false">IF(M14=TRUE(),M26+1,)</f>
        <v>46107</v>
      </c>
      <c r="N46" s="111" t="n">
        <f aca="false">IF(N14=TRUE(),N26+1,)</f>
        <v>0</v>
      </c>
      <c r="O46" s="111" t="n">
        <f aca="false">IF(O14=TRUE(),O26+1,)</f>
        <v>46173</v>
      </c>
      <c r="P46" s="111" t="n">
        <f aca="false">IF(P14=TRUE(),P26+1,)</f>
        <v>46173</v>
      </c>
    </row>
    <row r="47" customFormat="false" ht="13.8" hidden="false" customHeight="false" outlineLevel="0" collapsed="false">
      <c r="C47" s="1" t="s">
        <v>582</v>
      </c>
      <c r="K47" s="15" t="s">
        <v>25</v>
      </c>
      <c r="L47" s="12"/>
      <c r="M47" s="111" t="e">
        <f aca="false">IF(M$14=TRUE(),EDATE(M46,M31+M35+M41)-1,)</f>
        <v>#VALUE!</v>
      </c>
      <c r="N47" s="111" t="n">
        <f aca="false">IF(N$14=TRUE(),EDATE(N46,N31+N35+N41)-1,)</f>
        <v>0</v>
      </c>
      <c r="O47" s="111" t="e">
        <f aca="false">IF(O$14=TRUE(),EDATE(O46,O31+O35+O41)-1,)</f>
        <v>#VALUE!</v>
      </c>
      <c r="P47" s="111" t="e">
        <f aca="false">IF(P$14=TRUE(),EDATE(P46,P31+P35+P41)-1,)</f>
        <v>#VALUE!</v>
      </c>
    </row>
    <row r="48" customFormat="false" ht="13.8" hidden="false" customHeight="false" outlineLevel="0" collapsed="false">
      <c r="C48" s="5" t="s">
        <v>536</v>
      </c>
      <c r="K48" s="15" t="s">
        <v>232</v>
      </c>
      <c r="L48" s="12"/>
      <c r="M48" s="139" t="n">
        <f aca="false">IFERROR(INDEX(#REF!,,MATCH(M2,#REF!,0)),0)</f>
        <v>0</v>
      </c>
      <c r="N48" s="139" t="n">
        <f aca="false">IFERROR(INDEX(#REF!,,MATCH(N2,#REF!,0)),0)</f>
        <v>0</v>
      </c>
      <c r="O48" s="139" t="n">
        <f aca="false">IFERROR(INDEX(#REF!,,MATCH(O2,#REF!,0)),0)</f>
        <v>0</v>
      </c>
      <c r="P48" s="139" t="n">
        <f aca="false">IFERROR(INDEX(#REF!,,MATCH(P2,#REF!,0)),0)</f>
        <v>0</v>
      </c>
    </row>
    <row r="49" customFormat="false" ht="13.8" hidden="false" customHeight="false" outlineLevel="0" collapsed="false">
      <c r="B49" s="1"/>
      <c r="C49" s="1"/>
      <c r="D49" s="1"/>
      <c r="E49" s="1"/>
      <c r="F49" s="1"/>
      <c r="G49" s="1"/>
      <c r="H49" s="1"/>
      <c r="I49" s="1"/>
      <c r="J49" s="1"/>
      <c r="K49" s="1"/>
      <c r="L49" s="12"/>
      <c r="M49" s="1"/>
      <c r="N49" s="1"/>
      <c r="O49" s="1"/>
      <c r="P49" s="1"/>
    </row>
    <row r="50" customFormat="false" ht="13.8" hidden="false" customHeight="false" outlineLevel="0" collapsed="false">
      <c r="B50" s="11" t="n">
        <f aca="false">B18+1</f>
        <v>3</v>
      </c>
      <c r="C50" s="11" t="s">
        <v>583</v>
      </c>
      <c r="D50" s="11"/>
      <c r="E50" s="11"/>
      <c r="F50" s="11"/>
      <c r="G50" s="11"/>
      <c r="H50" s="11"/>
      <c r="I50" s="11"/>
      <c r="J50" s="11"/>
      <c r="K50" s="11"/>
      <c r="L50" s="11"/>
      <c r="M50" s="11"/>
      <c r="N50" s="11"/>
      <c r="O50" s="11"/>
      <c r="P50" s="11"/>
    </row>
    <row r="51" customFormat="false" ht="13.8" hidden="false" customHeight="false" outlineLevel="0" collapsed="false">
      <c r="B51" s="1"/>
      <c r="C51" s="1"/>
      <c r="D51" s="1"/>
      <c r="E51" s="1"/>
      <c r="F51" s="1"/>
      <c r="G51" s="1"/>
      <c r="H51" s="1"/>
      <c r="I51" s="1"/>
      <c r="J51" s="1"/>
      <c r="K51" s="1"/>
      <c r="L51" s="12"/>
      <c r="M51" s="1"/>
      <c r="N51" s="1"/>
      <c r="O51" s="1"/>
      <c r="P51" s="1"/>
    </row>
    <row r="52" customFormat="false" ht="13.8" hidden="false" customHeight="false" outlineLevel="0" collapsed="false">
      <c r="B52" s="1"/>
      <c r="C52" s="6" t="s">
        <v>584</v>
      </c>
      <c r="D52" s="1"/>
      <c r="E52" s="1"/>
      <c r="F52" s="1"/>
      <c r="G52" s="1"/>
      <c r="H52" s="1"/>
      <c r="I52" s="1"/>
      <c r="J52" s="1"/>
      <c r="K52" s="1"/>
      <c r="L52" s="12"/>
      <c r="M52" s="1"/>
      <c r="N52" s="1"/>
      <c r="O52" s="1"/>
      <c r="P52" s="1"/>
    </row>
    <row r="53" customFormat="false" ht="13.8" hidden="false" customHeight="false" outlineLevel="0" collapsed="false">
      <c r="A53" s="40" t="s">
        <v>585</v>
      </c>
      <c r="B53" s="1"/>
      <c r="C53" s="1" t="s">
        <v>554</v>
      </c>
      <c r="D53" s="1"/>
      <c r="E53" s="1"/>
      <c r="F53" s="1"/>
      <c r="G53" s="1"/>
      <c r="H53" s="1"/>
      <c r="I53" s="1"/>
      <c r="K53" s="15" t="s">
        <v>109</v>
      </c>
      <c r="L53" s="12"/>
      <c r="M53" s="63" t="s">
        <v>586</v>
      </c>
      <c r="N53" s="63" t="s">
        <v>586</v>
      </c>
      <c r="O53" s="63" t="s">
        <v>586</v>
      </c>
      <c r="P53" s="63" t="s">
        <v>230</v>
      </c>
    </row>
    <row r="54" customFormat="false" ht="13.8" hidden="false" customHeight="false" outlineLevel="0" collapsed="false">
      <c r="A54" s="40" t="s">
        <v>587</v>
      </c>
      <c r="B54" s="1"/>
      <c r="C54" s="1" t="s">
        <v>588</v>
      </c>
      <c r="D54" s="1"/>
      <c r="E54" s="1"/>
      <c r="F54" s="1"/>
      <c r="G54" s="1"/>
      <c r="H54" s="1"/>
      <c r="K54" s="15" t="s">
        <v>284</v>
      </c>
      <c r="L54" s="12"/>
      <c r="M54" s="64" t="n">
        <v>42</v>
      </c>
      <c r="N54" s="64" t="n">
        <v>43</v>
      </c>
      <c r="O54" s="64" t="n">
        <v>54</v>
      </c>
      <c r="P54" s="64" t="n">
        <v>1</v>
      </c>
    </row>
    <row r="55" customFormat="false" ht="13.8" hidden="false" customHeight="false" outlineLevel="0" collapsed="false">
      <c r="B55" s="1"/>
      <c r="C55" s="14" t="s">
        <v>588</v>
      </c>
      <c r="D55" s="1"/>
      <c r="E55" s="1"/>
      <c r="F55" s="1"/>
      <c r="G55" s="1"/>
      <c r="H55" s="1"/>
      <c r="I55" s="1"/>
      <c r="K55" s="15" t="s">
        <v>284</v>
      </c>
      <c r="L55" s="12"/>
      <c r="M55" s="16" t="e">
        <f aca="false">IF(M$16=TRUE(),M54*M53,)</f>
        <v>#VALUE!</v>
      </c>
      <c r="N55" s="16" t="n">
        <f aca="false">IF(N$16=TRUE(),N54*N53,)</f>
        <v>0</v>
      </c>
      <c r="O55" s="16" t="e">
        <f aca="false">IF(O$16=TRUE(),O54*O53,)</f>
        <v>#VALUE!</v>
      </c>
      <c r="P55" s="16" t="e">
        <f aca="false">IF(P$16=TRUE(),P54*P53,)</f>
        <v>#VALUE!</v>
      </c>
    </row>
    <row r="56" customFormat="false" ht="13.8" hidden="false" customHeight="false" outlineLevel="0" collapsed="false">
      <c r="B56" s="1"/>
      <c r="C56" s="1" t="s">
        <v>205</v>
      </c>
      <c r="D56" s="1"/>
      <c r="E56" s="1"/>
      <c r="F56" s="1"/>
      <c r="G56" s="15" t="s">
        <v>80</v>
      </c>
      <c r="H56" s="1"/>
      <c r="I56" s="94" t="s">
        <v>206</v>
      </c>
      <c r="K56" s="1"/>
      <c r="L56" s="12"/>
    </row>
    <row r="57" customFormat="false" ht="13.8" hidden="false" customHeight="false" outlineLevel="0" collapsed="false">
      <c r="B57" s="1"/>
      <c r="C57" s="1"/>
      <c r="D57" s="1"/>
      <c r="E57" s="1"/>
      <c r="F57" s="1"/>
      <c r="G57" s="1"/>
      <c r="H57" s="1"/>
      <c r="I57" s="1"/>
      <c r="K57" s="1"/>
      <c r="L57" s="12"/>
      <c r="M57" s="1"/>
      <c r="N57" s="1"/>
      <c r="O57" s="1"/>
      <c r="P57" s="1"/>
    </row>
    <row r="58" customFormat="false" ht="13.8" hidden="false" customHeight="false" outlineLevel="0" collapsed="false">
      <c r="A58" s="0"/>
      <c r="B58" s="1"/>
      <c r="C58" s="6" t="s">
        <v>589</v>
      </c>
      <c r="D58" s="1"/>
      <c r="E58" s="1"/>
      <c r="F58" s="1"/>
      <c r="G58" s="1"/>
      <c r="H58" s="1"/>
      <c r="I58" s="1"/>
      <c r="K58" s="1"/>
      <c r="L58" s="12"/>
    </row>
    <row r="59" customFormat="false" ht="13.8" hidden="false" customHeight="false" outlineLevel="0" collapsed="false">
      <c r="A59" s="40" t="s">
        <v>590</v>
      </c>
      <c r="B59" s="1"/>
      <c r="C59" s="1" t="s">
        <v>591</v>
      </c>
      <c r="D59" s="1"/>
      <c r="E59" s="1"/>
      <c r="F59" s="1"/>
      <c r="G59" s="1"/>
      <c r="H59" s="1"/>
      <c r="J59" s="1"/>
      <c r="K59" s="15" t="s">
        <v>11</v>
      </c>
      <c r="L59" s="12"/>
      <c r="M59" s="64" t="n">
        <v>159.705</v>
      </c>
      <c r="N59" s="64" t="n">
        <v>99.9</v>
      </c>
      <c r="O59" s="64" t="n">
        <v>31.05</v>
      </c>
      <c r="P59" s="64" t="n">
        <v>31.05</v>
      </c>
    </row>
    <row r="60" customFormat="false" ht="13.8" hidden="false" customHeight="false" outlineLevel="0" collapsed="false">
      <c r="A60" s="0"/>
      <c r="B60" s="1"/>
      <c r="C60" s="1" t="s">
        <v>592</v>
      </c>
      <c r="D60" s="1"/>
      <c r="E60" s="1"/>
      <c r="F60" s="1"/>
      <c r="G60" s="1"/>
      <c r="H60" s="1"/>
      <c r="K60" s="15" t="s">
        <v>483</v>
      </c>
      <c r="L60" s="12"/>
      <c r="M60" s="16" t="n">
        <f aca="false">IF(AND(M$16=TRUE(),IF($I$22,M22=0,TRUE())),M59,)</f>
        <v>159.705</v>
      </c>
      <c r="N60" s="16" t="n">
        <f aca="false">IF(AND(N$16=TRUE(),IF($I$22,N22=0,TRUE())),N59,)</f>
        <v>0</v>
      </c>
      <c r="O60" s="16" t="n">
        <f aca="false">IF(AND(O$16=TRUE(),IF($I$22,O22=0,TRUE())),O59,)</f>
        <v>31.05</v>
      </c>
      <c r="P60" s="16" t="n">
        <f aca="false">IF(AND(P$16=TRUE(),IF($I$22,P22=0,TRUE())),P59,)</f>
        <v>31.05</v>
      </c>
    </row>
    <row r="61" customFormat="false" ht="13.8" hidden="false" customHeight="false" outlineLevel="0" collapsed="false">
      <c r="B61" s="1"/>
      <c r="C61" s="1"/>
      <c r="D61" s="1"/>
      <c r="E61" s="1"/>
      <c r="F61" s="1"/>
      <c r="G61" s="1"/>
      <c r="H61" s="1"/>
      <c r="K61" s="1"/>
      <c r="L61" s="12"/>
      <c r="M61" s="1"/>
      <c r="N61" s="1"/>
      <c r="O61" s="1"/>
      <c r="P61" s="1"/>
    </row>
    <row r="62" customFormat="false" ht="13.8" hidden="false" customHeight="false" outlineLevel="0" collapsed="false">
      <c r="B62" s="1"/>
      <c r="C62" s="6" t="s">
        <v>593</v>
      </c>
      <c r="D62" s="1"/>
      <c r="E62" s="1"/>
      <c r="F62" s="1"/>
      <c r="G62" s="1"/>
      <c r="H62" s="1"/>
      <c r="K62" s="1"/>
      <c r="L62" s="12"/>
      <c r="M62" s="1"/>
      <c r="N62" s="1"/>
      <c r="O62" s="1"/>
      <c r="P62" s="1"/>
    </row>
    <row r="63" customFormat="false" ht="13.8" hidden="false" customHeight="false" outlineLevel="0" collapsed="false">
      <c r="A63" s="40" t="s">
        <v>594</v>
      </c>
      <c r="B63" s="1"/>
      <c r="C63" s="1" t="s">
        <v>595</v>
      </c>
      <c r="D63" s="1"/>
      <c r="E63" s="1"/>
      <c r="F63" s="1"/>
      <c r="G63" s="1"/>
      <c r="H63" s="1"/>
      <c r="K63" s="140" t="s">
        <v>33</v>
      </c>
      <c r="L63" s="12"/>
      <c r="M63" s="63" t="n">
        <v>0.004</v>
      </c>
      <c r="N63" s="63" t="n">
        <v>0.004</v>
      </c>
      <c r="O63" s="63" t="n">
        <v>0.004</v>
      </c>
      <c r="P63" s="63" t="n">
        <v>0.004</v>
      </c>
    </row>
    <row r="64" customFormat="false" ht="13.8" hidden="false" customHeight="false" outlineLevel="0" collapsed="false">
      <c r="A64" s="40" t="s">
        <v>596</v>
      </c>
      <c r="B64" s="1"/>
      <c r="C64" s="1" t="s">
        <v>597</v>
      </c>
      <c r="D64" s="1"/>
      <c r="E64" s="1"/>
      <c r="F64" s="1"/>
      <c r="G64" s="1"/>
      <c r="H64" s="1"/>
      <c r="K64" s="140" t="s">
        <v>33</v>
      </c>
      <c r="L64" s="12"/>
      <c r="M64" s="63" t="n">
        <v>0.004</v>
      </c>
      <c r="N64" s="63" t="n">
        <v>0.004</v>
      </c>
      <c r="O64" s="63" t="n">
        <v>0.004</v>
      </c>
      <c r="P64" s="63" t="n">
        <v>0.004</v>
      </c>
    </row>
    <row r="65" customFormat="false" ht="13.8" hidden="false" customHeight="false" outlineLevel="0" collapsed="false">
      <c r="A65" s="0"/>
      <c r="B65" s="1"/>
      <c r="C65" s="1" t="s">
        <v>85</v>
      </c>
      <c r="D65" s="1"/>
      <c r="E65" s="1"/>
      <c r="F65" s="1"/>
      <c r="G65" s="1"/>
      <c r="H65" s="1"/>
      <c r="K65" s="140" t="s">
        <v>33</v>
      </c>
      <c r="L65" s="12"/>
      <c r="M65" s="18" t="e">
        <f aca="false">INDEX(M63:M64,scenario,)</f>
        <v>#REF!</v>
      </c>
      <c r="N65" s="18" t="e">
        <f aca="false">INDEX(N63:N64,scenario,)</f>
        <v>#REF!</v>
      </c>
      <c r="O65" s="18" t="e">
        <f aca="false">INDEX(O63:O64,scenario,)</f>
        <v>#REF!</v>
      </c>
      <c r="P65" s="18" t="e">
        <f aca="false">INDEX(P63:P64,scenario,)</f>
        <v>#REF!</v>
      </c>
    </row>
    <row r="66" customFormat="false" ht="13.8" hidden="false" customHeight="false" outlineLevel="0" collapsed="false">
      <c r="A66" s="141" t="s">
        <v>598</v>
      </c>
      <c r="B66" s="1"/>
      <c r="C66" s="1" t="s">
        <v>396</v>
      </c>
      <c r="D66" s="1"/>
      <c r="E66" s="1"/>
      <c r="F66" s="1"/>
      <c r="G66" s="1"/>
      <c r="H66" s="1"/>
      <c r="K66" s="15" t="s">
        <v>25</v>
      </c>
      <c r="L66" s="12"/>
      <c r="M66" s="26" t="n">
        <f aca="false">M30</f>
        <v>46107</v>
      </c>
      <c r="N66" s="26" t="n">
        <f aca="false">N30</f>
        <v>0</v>
      </c>
      <c r="O66" s="26" t="n">
        <f aca="false">O30</f>
        <v>46173</v>
      </c>
      <c r="P66" s="26" t="n">
        <f aca="false">P30</f>
        <v>46173</v>
      </c>
    </row>
    <row r="67" customFormat="false" ht="13.8" hidden="false" customHeight="false" outlineLevel="0" collapsed="false">
      <c r="B67" s="1"/>
      <c r="C67" s="1" t="s">
        <v>599</v>
      </c>
      <c r="D67" s="1"/>
      <c r="E67" s="1"/>
      <c r="F67" s="1"/>
      <c r="G67" s="1"/>
      <c r="H67" s="1"/>
      <c r="K67" s="15" t="s">
        <v>33</v>
      </c>
      <c r="L67" s="12"/>
      <c r="M67" s="18" t="e">
        <f aca="false">(1-M65)^YEARFRAC(M26,M66,1)</f>
        <v>#REF!</v>
      </c>
      <c r="N67" s="18" t="e">
        <f aca="false">(1-N65)^YEARFRAC(N26,N66,1)</f>
        <v>#REF!</v>
      </c>
      <c r="O67" s="18" t="e">
        <f aca="false">(1-O65)^YEARFRAC(O26,O66,1)</f>
        <v>#REF!</v>
      </c>
      <c r="P67" s="18" t="e">
        <f aca="false">(1-P65)^YEARFRAC(P26,P66,1)</f>
        <v>#REF!</v>
      </c>
    </row>
    <row r="68" customFormat="false" ht="13.8" hidden="false" customHeight="false" outlineLevel="0" collapsed="false">
      <c r="B68" s="1"/>
      <c r="C68" s="1"/>
      <c r="D68" s="1"/>
      <c r="E68" s="1"/>
      <c r="F68" s="1"/>
      <c r="G68" s="1"/>
      <c r="H68" s="1"/>
      <c r="K68" s="1"/>
      <c r="L68" s="12"/>
      <c r="M68" s="1"/>
      <c r="N68" s="1"/>
      <c r="O68" s="1"/>
      <c r="P68" s="1"/>
    </row>
    <row r="69" customFormat="false" ht="13.8" hidden="false" customHeight="false" outlineLevel="0" collapsed="false">
      <c r="B69" s="1"/>
      <c r="C69" s="6" t="s">
        <v>83</v>
      </c>
      <c r="D69" s="1"/>
      <c r="E69" s="1"/>
      <c r="F69" s="1"/>
      <c r="G69" s="1"/>
      <c r="H69" s="1"/>
      <c r="K69" s="1"/>
      <c r="L69" s="12"/>
      <c r="M69" s="1"/>
      <c r="N69" s="1"/>
      <c r="O69" s="1"/>
      <c r="P69" s="1"/>
    </row>
    <row r="70" customFormat="false" ht="13.8" hidden="false" customHeight="false" outlineLevel="0" collapsed="false">
      <c r="A70" s="142" t="s">
        <v>600</v>
      </c>
      <c r="B70" s="1"/>
      <c r="C70" s="1" t="s">
        <v>601</v>
      </c>
      <c r="D70" s="1"/>
      <c r="E70" s="1"/>
      <c r="F70" s="1"/>
      <c r="G70" s="1"/>
      <c r="H70" s="1"/>
      <c r="K70" s="15" t="s">
        <v>80</v>
      </c>
      <c r="L70" s="12"/>
      <c r="M70" s="94" t="s">
        <v>602</v>
      </c>
      <c r="N70" s="94" t="s">
        <v>602</v>
      </c>
      <c r="O70" s="94" t="s">
        <v>602</v>
      </c>
      <c r="P70" s="94" t="s">
        <v>602</v>
      </c>
    </row>
    <row r="71" customFormat="false" ht="13.8" hidden="false" customHeight="false" outlineLevel="0" collapsed="false">
      <c r="A71" s="142" t="s">
        <v>603</v>
      </c>
      <c r="B71" s="1"/>
      <c r="C71" s="1" t="s">
        <v>604</v>
      </c>
      <c r="D71" s="1"/>
      <c r="E71" s="1"/>
      <c r="F71" s="1"/>
      <c r="G71" s="1"/>
      <c r="H71" s="1"/>
      <c r="K71" s="15" t="s">
        <v>80</v>
      </c>
      <c r="L71" s="12"/>
      <c r="M71" s="94" t="s">
        <v>605</v>
      </c>
      <c r="N71" s="94" t="s">
        <v>605</v>
      </c>
      <c r="O71" s="94" t="s">
        <v>605</v>
      </c>
      <c r="P71" s="94" t="s">
        <v>605</v>
      </c>
    </row>
    <row r="72" customFormat="false" ht="13.8" hidden="false" customHeight="false" outlineLevel="0" collapsed="false">
      <c r="A72" s="142"/>
      <c r="B72" s="1"/>
      <c r="C72" s="1" t="s">
        <v>83</v>
      </c>
      <c r="D72" s="1"/>
      <c r="E72" s="1"/>
      <c r="F72" s="1"/>
      <c r="G72" s="1"/>
      <c r="H72" s="1"/>
      <c r="K72" s="15" t="s">
        <v>80</v>
      </c>
      <c r="L72" s="12"/>
      <c r="M72" s="86" t="e">
        <f aca="false">INDEX(M70:M71,scenario,)</f>
        <v>#REF!</v>
      </c>
      <c r="N72" s="86" t="e">
        <f aca="false">INDEX(N70:N71,scenario,)</f>
        <v>#REF!</v>
      </c>
      <c r="O72" s="86" t="e">
        <f aca="false">INDEX(O70:O71,scenario,)</f>
        <v>#REF!</v>
      </c>
      <c r="P72" s="86" t="e">
        <f aca="false">INDEX(P70:P71,scenario,)</f>
        <v>#REF!</v>
      </c>
    </row>
    <row r="73" customFormat="false" ht="13.8" hidden="false" customHeight="false" outlineLevel="0" collapsed="false">
      <c r="B73" s="1"/>
      <c r="C73" s="1"/>
      <c r="D73" s="1"/>
      <c r="E73" s="1"/>
      <c r="F73" s="1"/>
      <c r="G73" s="1"/>
      <c r="H73" s="1"/>
      <c r="K73" s="1"/>
      <c r="L73" s="12"/>
      <c r="M73" s="1"/>
      <c r="N73" s="1"/>
      <c r="O73" s="1"/>
      <c r="P73" s="1"/>
    </row>
    <row r="74" customFormat="false" ht="13.8" hidden="false" customHeight="false" outlineLevel="0" collapsed="false">
      <c r="A74" s="40" t="s">
        <v>606</v>
      </c>
      <c r="B74" s="1"/>
      <c r="C74" s="1" t="s">
        <v>607</v>
      </c>
      <c r="D74" s="1"/>
      <c r="E74" s="1"/>
      <c r="F74" s="1"/>
      <c r="G74" s="1"/>
      <c r="H74" s="1"/>
      <c r="J74" s="1"/>
      <c r="K74" s="15" t="s">
        <v>33</v>
      </c>
      <c r="L74" s="12"/>
      <c r="M74" s="108" t="n">
        <v>0.005</v>
      </c>
      <c r="N74" s="108" t="n">
        <v>0.005</v>
      </c>
      <c r="O74" s="108" t="n">
        <v>0.005</v>
      </c>
      <c r="P74" s="108" t="n">
        <v>0.005</v>
      </c>
    </row>
    <row r="75" customFormat="false" ht="13.8" hidden="false" customHeight="false" outlineLevel="0" collapsed="false">
      <c r="B75" s="1"/>
      <c r="C75" s="1"/>
      <c r="D75" s="1"/>
      <c r="E75" s="1"/>
      <c r="F75" s="1"/>
      <c r="G75" s="1"/>
      <c r="H75" s="1"/>
      <c r="K75" s="1"/>
      <c r="L75" s="12"/>
      <c r="M75" s="1"/>
      <c r="N75" s="1"/>
      <c r="O75" s="1"/>
      <c r="P75" s="1"/>
    </row>
    <row r="76" customFormat="false" ht="13.8" hidden="false" customHeight="false" outlineLevel="0" collapsed="false">
      <c r="A76" s="40" t="s">
        <v>608</v>
      </c>
      <c r="B76" s="1"/>
      <c r="C76" s="61" t="s">
        <v>602</v>
      </c>
      <c r="D76" s="1"/>
      <c r="E76" s="1"/>
      <c r="F76" s="1"/>
      <c r="G76" s="1"/>
      <c r="H76" s="1"/>
      <c r="J76" s="1"/>
      <c r="K76" s="15" t="s">
        <v>27</v>
      </c>
      <c r="L76" s="12"/>
      <c r="M76" s="64" t="n">
        <v>1287.8</v>
      </c>
      <c r="N76" s="64" t="n">
        <v>1338.56</v>
      </c>
      <c r="O76" s="64" t="n">
        <v>1100.74</v>
      </c>
      <c r="P76" s="64" t="n">
        <v>1100.74</v>
      </c>
    </row>
    <row r="77" customFormat="false" ht="13.8" hidden="false" customHeight="false" outlineLevel="0" collapsed="false">
      <c r="A77" s="40" t="s">
        <v>609</v>
      </c>
      <c r="B77" s="1"/>
      <c r="C77" s="61" t="s">
        <v>605</v>
      </c>
      <c r="D77" s="1"/>
      <c r="E77" s="1"/>
      <c r="F77" s="1"/>
      <c r="G77" s="1"/>
      <c r="H77" s="1"/>
      <c r="J77" s="1"/>
      <c r="K77" s="15" t="s">
        <v>27</v>
      </c>
      <c r="L77" s="12"/>
      <c r="M77" s="64" t="n">
        <v>1370</v>
      </c>
      <c r="N77" s="64" t="n">
        <v>1424</v>
      </c>
      <c r="O77" s="64" t="n">
        <v>1171</v>
      </c>
      <c r="P77" s="64" t="n">
        <v>1171</v>
      </c>
    </row>
    <row r="78" customFormat="false" ht="13.8" hidden="false" customHeight="false" outlineLevel="0" collapsed="false">
      <c r="A78" s="40" t="s">
        <v>610</v>
      </c>
      <c r="B78" s="1"/>
      <c r="C78" s="117" t="s">
        <v>611</v>
      </c>
      <c r="D78" s="117"/>
      <c r="E78" s="117"/>
      <c r="F78" s="117"/>
      <c r="G78" s="117"/>
      <c r="H78" s="117"/>
      <c r="I78" s="117"/>
      <c r="J78" s="117"/>
      <c r="K78" s="118" t="s">
        <v>27</v>
      </c>
      <c r="L78" s="119"/>
      <c r="M78" s="143" t="e">
        <f aca="false">IF(M72=0,0,INDEX(M76:M77,MATCH(M72,$C$76:$C$77,0))*(1+M74*(M72="P90")))</f>
        <v>#REF!</v>
      </c>
      <c r="N78" s="143" t="e">
        <f aca="false">IF(N72=0,0,INDEX(N76:N77,MATCH(N72,$C$76:$C$77,0))*(1+N74*(N72="P90")))</f>
        <v>#REF!</v>
      </c>
      <c r="O78" s="143" t="e">
        <f aca="false">IF(O72=0,0,INDEX(O76:O77,MATCH(O72,$C$76:$C$77,0))*(1+O74*(O72="P90")))</f>
        <v>#REF!</v>
      </c>
      <c r="P78" s="143" t="e">
        <f aca="false">IF(P72=0,0,INDEX(P76:P77,MATCH(P72,$C$76:$C$77,0))*(1+P74*(P72="P90")))</f>
        <v>#REF!</v>
      </c>
    </row>
    <row r="79" customFormat="false" ht="13.8" hidden="false" customHeight="false" outlineLevel="0" collapsed="false">
      <c r="B79" s="1"/>
      <c r="C79" s="1"/>
      <c r="D79" s="1"/>
      <c r="E79" s="1"/>
      <c r="F79" s="1"/>
      <c r="G79" s="1"/>
      <c r="H79" s="1"/>
      <c r="I79" s="1"/>
      <c r="J79" s="1"/>
      <c r="K79" s="1"/>
      <c r="L79" s="12"/>
      <c r="M79" s="1"/>
      <c r="N79" s="1"/>
      <c r="O79" s="1"/>
      <c r="P79" s="1"/>
    </row>
    <row r="80" customFormat="false" ht="13.8" hidden="false" customHeight="false" outlineLevel="0" collapsed="false">
      <c r="B80" s="1"/>
      <c r="C80" s="6" t="s">
        <v>612</v>
      </c>
      <c r="D80" s="1"/>
      <c r="E80" s="1"/>
      <c r="F80" s="1"/>
      <c r="G80" s="1"/>
      <c r="H80" s="1"/>
      <c r="I80" s="1"/>
      <c r="J80" s="1"/>
      <c r="K80" s="1"/>
      <c r="L80" s="12"/>
      <c r="M80" s="1"/>
      <c r="N80" s="1"/>
      <c r="O80" s="1"/>
      <c r="P80" s="1"/>
    </row>
    <row r="81" customFormat="false" ht="13.8" hidden="false" customHeight="false" outlineLevel="0" collapsed="false">
      <c r="A81" s="40" t="s">
        <v>613</v>
      </c>
      <c r="B81" s="1"/>
      <c r="C81" s="1" t="s">
        <v>614</v>
      </c>
      <c r="D81" s="1"/>
      <c r="E81" s="1"/>
      <c r="F81" s="1"/>
      <c r="G81" s="1"/>
      <c r="H81" s="1"/>
      <c r="I81" s="1"/>
      <c r="J81" s="1"/>
      <c r="K81" s="15" t="s">
        <v>33</v>
      </c>
      <c r="L81" s="12"/>
      <c r="M81" s="63" t="n">
        <v>0.99</v>
      </c>
      <c r="N81" s="63" t="n">
        <v>0.99</v>
      </c>
      <c r="O81" s="63" t="n">
        <v>0.99</v>
      </c>
      <c r="P81" s="63" t="n">
        <v>0.99</v>
      </c>
    </row>
    <row r="82" customFormat="false" ht="13.8" hidden="false" customHeight="false" outlineLevel="0" collapsed="false">
      <c r="A82" s="40" t="s">
        <v>615</v>
      </c>
      <c r="B82" s="1"/>
      <c r="C82" s="1" t="s">
        <v>616</v>
      </c>
      <c r="D82" s="1"/>
      <c r="E82" s="1"/>
      <c r="F82" s="1"/>
      <c r="G82" s="1"/>
      <c r="H82" s="1"/>
      <c r="I82" s="1"/>
      <c r="J82" s="1"/>
      <c r="K82" s="15" t="s">
        <v>33</v>
      </c>
      <c r="L82" s="12"/>
      <c r="M82" s="63" t="n">
        <v>0.99</v>
      </c>
      <c r="N82" s="63" t="n">
        <v>0.99</v>
      </c>
      <c r="O82" s="63" t="n">
        <v>0.99</v>
      </c>
      <c r="P82" s="63" t="n">
        <v>0.99</v>
      </c>
    </row>
    <row r="83" customFormat="false" ht="13.8" hidden="false" customHeight="false" outlineLevel="0" collapsed="false">
      <c r="A83" s="40" t="s">
        <v>617</v>
      </c>
      <c r="B83" s="1"/>
      <c r="C83" s="1" t="s">
        <v>84</v>
      </c>
      <c r="D83" s="1"/>
      <c r="E83" s="1"/>
      <c r="F83" s="1"/>
      <c r="G83" s="1"/>
      <c r="H83" s="1"/>
      <c r="I83" s="1"/>
      <c r="J83" s="1"/>
      <c r="K83" s="15" t="s">
        <v>33</v>
      </c>
      <c r="L83" s="12"/>
      <c r="M83" s="18" t="e">
        <f aca="false">INDEX(M81:M82,scenario,)</f>
        <v>#REF!</v>
      </c>
      <c r="N83" s="18" t="e">
        <f aca="false">INDEX(N81:N82,scenario,)</f>
        <v>#REF!</v>
      </c>
      <c r="O83" s="18" t="e">
        <f aca="false">INDEX(O81:O82,scenario,)</f>
        <v>#REF!</v>
      </c>
      <c r="P83" s="18" t="e">
        <f aca="false">INDEX(P81:P82,scenario,)</f>
        <v>#REF!</v>
      </c>
    </row>
    <row r="84" customFormat="false" ht="13.8" hidden="false" customHeight="false" outlineLevel="0" collapsed="false">
      <c r="B84" s="1"/>
      <c r="C84" s="1"/>
      <c r="D84" s="1"/>
      <c r="E84" s="1"/>
      <c r="F84" s="1"/>
      <c r="G84" s="1"/>
      <c r="H84" s="1"/>
      <c r="I84" s="1"/>
      <c r="J84" s="1"/>
      <c r="K84" s="1"/>
      <c r="L84" s="12"/>
      <c r="M84" s="1"/>
      <c r="N84" s="1"/>
      <c r="O84" s="1"/>
      <c r="P84" s="1"/>
    </row>
    <row r="85" customFormat="false" ht="13.8" hidden="false" customHeight="false" outlineLevel="0" collapsed="false">
      <c r="B85" s="11" t="n">
        <f aca="false">+B50+1</f>
        <v>4</v>
      </c>
      <c r="C85" s="11" t="s">
        <v>618</v>
      </c>
      <c r="D85" s="11"/>
      <c r="E85" s="11"/>
      <c r="F85" s="11"/>
      <c r="G85" s="11"/>
      <c r="H85" s="11"/>
      <c r="I85" s="11"/>
      <c r="J85" s="11"/>
      <c r="K85" s="11"/>
      <c r="L85" s="11"/>
      <c r="M85" s="11"/>
      <c r="N85" s="11"/>
      <c r="O85" s="11"/>
      <c r="P85" s="11"/>
    </row>
    <row r="86" customFormat="false" ht="13.8" hidden="false" customHeight="false" outlineLevel="0" collapsed="false">
      <c r="B86" s="1"/>
      <c r="C86" s="1"/>
      <c r="D86" s="1"/>
      <c r="E86" s="1"/>
      <c r="F86" s="1"/>
      <c r="G86" s="1"/>
      <c r="H86" s="1"/>
      <c r="I86" s="1"/>
      <c r="J86" s="1"/>
      <c r="K86" s="1"/>
      <c r="L86" s="12"/>
      <c r="M86" s="1"/>
      <c r="N86" s="1"/>
      <c r="O86" s="1"/>
      <c r="P86" s="1"/>
    </row>
    <row r="87" customFormat="false" ht="13.8" hidden="false" customHeight="false" outlineLevel="0" collapsed="false">
      <c r="B87" s="1"/>
      <c r="C87" s="6" t="s">
        <v>619</v>
      </c>
      <c r="D87" s="1"/>
      <c r="E87" s="1"/>
      <c r="F87" s="1"/>
      <c r="G87" s="1"/>
      <c r="H87" s="1"/>
      <c r="I87" s="1"/>
      <c r="J87" s="1"/>
      <c r="K87" s="1"/>
      <c r="L87" s="12"/>
      <c r="M87" s="1"/>
      <c r="N87" s="1"/>
      <c r="O87" s="1"/>
      <c r="P87" s="1"/>
    </row>
    <row r="88" customFormat="false" ht="13.8" hidden="false" customHeight="false" outlineLevel="0" collapsed="false">
      <c r="A88" s="40" t="s">
        <v>620</v>
      </c>
      <c r="B88" s="1"/>
      <c r="C88" s="1" t="s">
        <v>621</v>
      </c>
      <c r="D88" s="1"/>
      <c r="E88" s="1"/>
      <c r="F88" s="1"/>
      <c r="G88" s="1"/>
      <c r="H88" s="1"/>
      <c r="J88" s="1"/>
      <c r="K88" s="15" t="s">
        <v>106</v>
      </c>
      <c r="L88" s="12"/>
      <c r="M88" s="93" t="n">
        <v>115.09592893258</v>
      </c>
      <c r="N88" s="93" t="n">
        <v>117.800780129068</v>
      </c>
      <c r="O88" s="93" t="n">
        <v>124.285081042638</v>
      </c>
      <c r="P88" s="93" t="n">
        <v>124.285081042638</v>
      </c>
    </row>
    <row r="89" customFormat="false" ht="13.8" hidden="false" customHeight="false" outlineLevel="0" collapsed="false">
      <c r="A89" s="40" t="s">
        <v>622</v>
      </c>
      <c r="B89" s="1"/>
      <c r="C89" s="1" t="s">
        <v>623</v>
      </c>
      <c r="D89" s="1"/>
      <c r="E89" s="1"/>
      <c r="F89" s="1"/>
      <c r="G89" s="1"/>
      <c r="H89" s="1"/>
      <c r="K89" s="15" t="s">
        <v>106</v>
      </c>
      <c r="L89" s="12"/>
      <c r="M89" s="106" t="n">
        <v>4</v>
      </c>
      <c r="N89" s="106" t="n">
        <v>2</v>
      </c>
      <c r="O89" s="106" t="n">
        <v>5</v>
      </c>
      <c r="P89" s="106" t="n">
        <v>7</v>
      </c>
    </row>
    <row r="90" customFormat="false" ht="13.8" hidden="false" customHeight="false" outlineLevel="0" collapsed="false">
      <c r="A90" s="40" t="s">
        <v>624</v>
      </c>
      <c r="B90" s="1"/>
      <c r="C90" s="1" t="s">
        <v>625</v>
      </c>
      <c r="D90" s="1"/>
      <c r="E90" s="1"/>
      <c r="F90" s="1"/>
      <c r="G90" s="1"/>
      <c r="H90" s="1"/>
      <c r="I90" s="1"/>
      <c r="K90" s="15" t="s">
        <v>106</v>
      </c>
      <c r="L90" s="12"/>
      <c r="M90" s="106" t="n">
        <v>42</v>
      </c>
      <c r="N90" s="106" t="n">
        <v>12</v>
      </c>
      <c r="O90" s="106" t="n">
        <v>42</v>
      </c>
      <c r="P90" s="106" t="n">
        <v>42</v>
      </c>
    </row>
    <row r="91" customFormat="false" ht="13.8" hidden="false" customHeight="false" outlineLevel="0" collapsed="false">
      <c r="A91" s="40" t="s">
        <v>626</v>
      </c>
      <c r="B91" s="1"/>
      <c r="C91" s="1" t="s">
        <v>627</v>
      </c>
      <c r="D91" s="1"/>
      <c r="E91" s="1"/>
      <c r="F91" s="1"/>
      <c r="G91" s="1"/>
      <c r="H91" s="1"/>
      <c r="I91" s="1"/>
      <c r="K91" s="15" t="s">
        <v>109</v>
      </c>
      <c r="L91" s="12"/>
      <c r="M91" s="63" t="s">
        <v>230</v>
      </c>
      <c r="N91" s="63" t="s">
        <v>230</v>
      </c>
      <c r="O91" s="63" t="s">
        <v>586</v>
      </c>
      <c r="P91" s="63" t="s">
        <v>586</v>
      </c>
    </row>
    <row r="92" customFormat="false" ht="13.8" hidden="false" customHeight="false" outlineLevel="0" collapsed="false">
      <c r="B92" s="1"/>
      <c r="C92" s="1"/>
      <c r="D92" s="1"/>
      <c r="E92" s="1"/>
      <c r="F92" s="1"/>
      <c r="G92" s="1"/>
      <c r="H92" s="1"/>
      <c r="I92" s="1"/>
      <c r="K92" s="1"/>
      <c r="L92" s="12"/>
      <c r="M92" s="1"/>
      <c r="N92" s="1"/>
      <c r="O92" s="1"/>
      <c r="P92" s="1"/>
    </row>
    <row r="93" customFormat="false" ht="13.8" hidden="false" customHeight="false" outlineLevel="0" collapsed="false">
      <c r="A93" s="40" t="s">
        <v>628</v>
      </c>
      <c r="B93" s="1"/>
      <c r="C93" s="1" t="s">
        <v>205</v>
      </c>
      <c r="D93" s="1"/>
      <c r="E93" s="1"/>
      <c r="F93" s="1"/>
      <c r="G93" s="1"/>
      <c r="H93" s="1"/>
      <c r="I93" s="1"/>
      <c r="K93" s="15" t="s">
        <v>80</v>
      </c>
      <c r="L93" s="12"/>
      <c r="M93" s="94" t="s">
        <v>400</v>
      </c>
      <c r="N93" s="94" t="s">
        <v>400</v>
      </c>
      <c r="O93" s="94" t="s">
        <v>206</v>
      </c>
      <c r="P93" s="94" t="s">
        <v>401</v>
      </c>
    </row>
    <row r="94" customFormat="false" ht="13.8" hidden="false" customHeight="false" outlineLevel="0" collapsed="false">
      <c r="B94" s="1"/>
      <c r="C94" s="1"/>
      <c r="D94" s="1"/>
      <c r="E94" s="1"/>
      <c r="F94" s="1"/>
      <c r="G94" s="1"/>
      <c r="H94" s="1"/>
      <c r="I94" s="1"/>
      <c r="K94" s="15"/>
      <c r="L94" s="12"/>
      <c r="M94" s="1"/>
      <c r="N94" s="1"/>
      <c r="O94" s="1"/>
      <c r="P94" s="1"/>
    </row>
    <row r="95" customFormat="false" ht="13.8" hidden="false" customHeight="false" outlineLevel="0" collapsed="false">
      <c r="A95" s="40" t="s">
        <v>629</v>
      </c>
      <c r="B95" s="1"/>
      <c r="C95" s="1" t="s">
        <v>630</v>
      </c>
      <c r="D95" s="1"/>
      <c r="E95" s="1"/>
      <c r="F95" s="15" t="s">
        <v>540</v>
      </c>
      <c r="G95" s="135" t="s">
        <v>542</v>
      </c>
      <c r="H95" s="135" t="s">
        <v>541</v>
      </c>
      <c r="I95" s="135" t="s">
        <v>543</v>
      </c>
      <c r="K95" s="15" t="s">
        <v>109</v>
      </c>
      <c r="L95" s="12"/>
      <c r="M95" s="63" t="s">
        <v>230</v>
      </c>
      <c r="N95" s="63" t="s">
        <v>230</v>
      </c>
      <c r="O95" s="63" t="s">
        <v>230</v>
      </c>
      <c r="P95" s="63" t="s">
        <v>230</v>
      </c>
    </row>
    <row r="96" customFormat="false" ht="13.8" hidden="false" customHeight="false" outlineLevel="0" collapsed="false">
      <c r="A96" s="40" t="s">
        <v>631</v>
      </c>
      <c r="B96" s="1"/>
      <c r="C96" s="1" t="s">
        <v>632</v>
      </c>
      <c r="D96" s="1"/>
      <c r="E96" s="1"/>
      <c r="F96" s="15" t="s">
        <v>27</v>
      </c>
      <c r="G96" s="64" t="n">
        <v>1600</v>
      </c>
      <c r="H96" s="64" t="n">
        <v>1100</v>
      </c>
      <c r="I96" s="64" t="n">
        <v>1100</v>
      </c>
      <c r="K96" s="15" t="s">
        <v>27</v>
      </c>
      <c r="L96" s="12"/>
      <c r="M96" s="16" t="n">
        <f aca="false" t="array" ref="M96:M96">IFERROR(INDEX($G96:$I96,,MATCH(M$10,$G$95:$I$95,0)),0)</f>
        <v>1100</v>
      </c>
      <c r="N96" s="16" t="n">
        <f aca="false" t="array" ref="N96:N96">IFERROR(INDEX($G96:$I96,,MATCH(N$10,$G$95:$I$95,0)),0)</f>
        <v>1600</v>
      </c>
      <c r="O96" s="16" t="n">
        <f aca="false" t="array" ref="O96:O96">IFERROR(INDEX($G96:$I96,,MATCH(O$10,$G$95:$I$95,0)),0)</f>
        <v>1100</v>
      </c>
      <c r="P96" s="16" t="n">
        <f aca="false" t="array" ref="P96:P96">IFERROR(INDEX($G96:$I96,,MATCH(P$10,$G$95:$I$95,0)),0)</f>
        <v>1100</v>
      </c>
    </row>
    <row r="97" customFormat="false" ht="13.8" hidden="false" customHeight="false" outlineLevel="0" collapsed="false">
      <c r="A97" s="40" t="s">
        <v>633</v>
      </c>
      <c r="B97" s="1"/>
      <c r="C97" s="1" t="s">
        <v>634</v>
      </c>
      <c r="D97" s="1"/>
      <c r="E97" s="1"/>
      <c r="F97" s="15" t="s">
        <v>106</v>
      </c>
      <c r="G97" s="64" t="n">
        <v>50</v>
      </c>
      <c r="H97" s="64" t="n">
        <v>40</v>
      </c>
      <c r="I97" s="64" t="n">
        <v>40</v>
      </c>
      <c r="K97" s="15" t="s">
        <v>106</v>
      </c>
      <c r="L97" s="12"/>
      <c r="M97" s="16" t="n">
        <f aca="false" t="array" ref="M97:M97">IFERROR(INDEX($G97:$I97,,MATCH(M$10,$G$95:$I$95,0)),0)</f>
        <v>40</v>
      </c>
      <c r="N97" s="16" t="n">
        <f aca="false" t="array" ref="N97:N97">IFERROR(INDEX($G97:$I97,,MATCH(N$10,$G$95:$I$95,0)),0)</f>
        <v>50</v>
      </c>
      <c r="O97" s="16" t="n">
        <f aca="false" t="array" ref="O97:O97">IFERROR(INDEX($G97:$I97,,MATCH(O$10,$G$95:$I$95,0)),0)</f>
        <v>40</v>
      </c>
      <c r="P97" s="16" t="n">
        <f aca="false" t="array" ref="P97:P97">IFERROR(INDEX($G97:$I97,,MATCH(P$10,$G$95:$I$95,0)),0)</f>
        <v>40</v>
      </c>
    </row>
    <row r="98" customFormat="false" ht="13.8" hidden="false" customHeight="false" outlineLevel="0" collapsed="false">
      <c r="B98" s="1"/>
      <c r="C98" s="1" t="s">
        <v>635</v>
      </c>
      <c r="D98" s="1"/>
      <c r="E98" s="1"/>
      <c r="F98" s="1"/>
      <c r="G98" s="1"/>
      <c r="K98" s="15" t="s">
        <v>106</v>
      </c>
      <c r="L98" s="12"/>
      <c r="M98" s="103" t="n">
        <f aca="false">IF(M$16=TRUE(),IFERROR(((MAX(M$78*M$83-M$96,0)*M$97+MIN(M$96,M$78*M$83)*M$88)/(M$78*M$83))*M$95,0),)</f>
        <v>0</v>
      </c>
      <c r="N98" s="103" t="n">
        <f aca="false">IF(N$16=TRUE(),IFERROR(((MAX(N$78*N$83-N$96,0)*N$97+MIN(N$96,N$78*N$83)*N$88)/(N$78*N$83))*N$95,0),)</f>
        <v>0</v>
      </c>
      <c r="O98" s="103" t="n">
        <f aca="false">IF(O$16=TRUE(),IFERROR(((MAX(O$78*O$83-O$96,0)*O$97+MIN(O$96,O$78*O$83)*O$88)/(O$78*O$83))*O$95,0),)</f>
        <v>0</v>
      </c>
      <c r="P98" s="103" t="n">
        <f aca="false">IF(P$16=TRUE(),IFERROR(((MAX(P$78*P$83-P$96,0)*P$97+MIN(P$96,P$78*P$83)*P$88)/(P$78*P$83))*P$95,0),)</f>
        <v>0</v>
      </c>
    </row>
    <row r="99" customFormat="false" ht="13.8" hidden="false" customHeight="false" outlineLevel="0" collapsed="false">
      <c r="L99" s="90"/>
    </row>
    <row r="100" customFormat="false" ht="13.8" hidden="false" customHeight="false" outlineLevel="0" collapsed="false">
      <c r="C100" s="6" t="s">
        <v>500</v>
      </c>
      <c r="L100" s="90"/>
    </row>
    <row r="101" customFormat="false" ht="13.8" hidden="false" customHeight="false" outlineLevel="0" collapsed="false">
      <c r="C101" s="5" t="s">
        <v>636</v>
      </c>
      <c r="L101" s="90"/>
      <c r="M101" s="94" t="s">
        <v>434</v>
      </c>
      <c r="N101" s="94" t="s">
        <v>434</v>
      </c>
      <c r="O101" s="94" t="s">
        <v>434</v>
      </c>
      <c r="P101" s="94" t="s">
        <v>434</v>
      </c>
    </row>
    <row r="102" customFormat="false" ht="13.8" hidden="false" customHeight="false" outlineLevel="0" collapsed="false">
      <c r="C102" s="5" t="s">
        <v>637</v>
      </c>
      <c r="L102" s="90"/>
      <c r="M102" s="94" t="s">
        <v>434</v>
      </c>
      <c r="N102" s="94" t="s">
        <v>434</v>
      </c>
      <c r="O102" s="94" t="s">
        <v>434</v>
      </c>
      <c r="P102" s="94" t="s">
        <v>434</v>
      </c>
    </row>
    <row r="103" customFormat="false" ht="13.8" hidden="false" customHeight="false" outlineLevel="0" collapsed="false">
      <c r="C103" s="5" t="s">
        <v>638</v>
      </c>
      <c r="L103" s="90"/>
      <c r="M103" s="86" t="e">
        <f aca="false">IF(M16,IF(INDEX(#REF!,,M9)=TRUE(),INDEX(#REF!,,M9),),)</f>
        <v>#VALUE!</v>
      </c>
      <c r="N103" s="86" t="n">
        <f aca="false">IF(N16,IF(INDEX(#REF!,,N9)=TRUE(),INDEX(#REF!,,N9),),)</f>
        <v>0</v>
      </c>
      <c r="O103" s="86" t="e">
        <f aca="false">IF(O16,IF(INDEX(#REF!,,O9)=TRUE(),INDEX(#REF!,,O9),),)</f>
        <v>#VALUE!</v>
      </c>
      <c r="P103" s="86" t="e">
        <f aca="false">IF(P16,IF(INDEX(#REF!,,P9)=TRUE(),INDEX(#REF!,,P9),),)</f>
        <v>#VALUE!</v>
      </c>
    </row>
    <row r="104" customFormat="false" ht="13.8" hidden="false" customHeight="false" outlineLevel="0" collapsed="false">
      <c r="A104" s="40" t="s">
        <v>639</v>
      </c>
      <c r="C104" s="5" t="s">
        <v>640</v>
      </c>
      <c r="L104" s="90"/>
      <c r="M104" s="94" t="s">
        <v>434</v>
      </c>
      <c r="N104" s="94" t="s">
        <v>505</v>
      </c>
      <c r="O104" s="94" t="s">
        <v>506</v>
      </c>
      <c r="P104" s="94" t="s">
        <v>507</v>
      </c>
    </row>
    <row r="105" customFormat="false" ht="13.8" hidden="false" customHeight="false" outlineLevel="0" collapsed="false">
      <c r="L105" s="90"/>
    </row>
    <row r="106" customFormat="false" ht="13.8" hidden="false" customHeight="false" outlineLevel="0" collapsed="false">
      <c r="A106" s="40" t="s">
        <v>641</v>
      </c>
      <c r="C106" s="5" t="s">
        <v>642</v>
      </c>
      <c r="D106" s="1"/>
      <c r="E106" s="1"/>
      <c r="F106" s="5" t="s">
        <v>205</v>
      </c>
      <c r="G106" s="15" t="s">
        <v>80</v>
      </c>
      <c r="H106" s="1"/>
      <c r="I106" s="94"/>
      <c r="J106" s="1"/>
      <c r="K106" s="15" t="s">
        <v>139</v>
      </c>
      <c r="L106" s="12"/>
      <c r="M106" s="87"/>
      <c r="N106" s="87"/>
      <c r="O106" s="87"/>
      <c r="P106" s="87"/>
    </row>
    <row r="107" customFormat="false" ht="13.8" hidden="false" customHeight="false" outlineLevel="0" collapsed="false">
      <c r="B107" s="1"/>
      <c r="C107" s="1"/>
      <c r="D107" s="1"/>
      <c r="E107" s="1"/>
      <c r="F107" s="1"/>
      <c r="G107" s="1"/>
      <c r="H107" s="1"/>
      <c r="I107" s="1"/>
      <c r="K107" s="1"/>
      <c r="L107" s="12"/>
      <c r="M107" s="1"/>
      <c r="N107" s="1"/>
      <c r="O107" s="1"/>
      <c r="P107" s="1"/>
    </row>
    <row r="108" customFormat="false" ht="13.8" hidden="false" customHeight="false" outlineLevel="0" collapsed="false">
      <c r="B108" s="11" t="n">
        <f aca="false">B85+1</f>
        <v>5</v>
      </c>
      <c r="C108" s="11" t="s">
        <v>86</v>
      </c>
      <c r="D108" s="11"/>
      <c r="E108" s="11"/>
      <c r="F108" s="11"/>
      <c r="G108" s="11"/>
      <c r="H108" s="11"/>
      <c r="I108" s="11"/>
      <c r="J108" s="11"/>
      <c r="K108" s="11"/>
      <c r="L108" s="11"/>
      <c r="M108" s="11"/>
      <c r="N108" s="11"/>
      <c r="O108" s="11"/>
      <c r="P108" s="11"/>
    </row>
    <row r="109" customFormat="false" ht="13.8" hidden="false" customHeight="false" outlineLevel="0" collapsed="false">
      <c r="B109" s="1"/>
      <c r="C109" s="1"/>
      <c r="D109" s="1"/>
      <c r="E109" s="1"/>
      <c r="F109" s="1"/>
      <c r="G109" s="1"/>
      <c r="H109" s="1"/>
      <c r="I109" s="144"/>
      <c r="K109" s="1"/>
      <c r="L109" s="12"/>
    </row>
    <row r="110" customFormat="false" ht="13.8" hidden="false" customHeight="false" outlineLevel="0" collapsed="false">
      <c r="C110" s="145" t="s">
        <v>82</v>
      </c>
      <c r="K110" s="1"/>
      <c r="L110" s="12"/>
    </row>
    <row r="111" customFormat="false" ht="13.8" hidden="false" customHeight="false" outlineLevel="0" collapsed="false">
      <c r="C111" s="5" t="s">
        <v>643</v>
      </c>
      <c r="K111" s="15" t="s">
        <v>139</v>
      </c>
      <c r="L111" s="12"/>
      <c r="M111" s="146" t="n">
        <f aca="false">MAX(YEAR(M$30),YEAR(Model_Start_Date))</f>
        <v>2026</v>
      </c>
      <c r="N111" s="146" t="n">
        <f aca="false">MAX(YEAR(N$30),YEAR(Model_Start_Date))</f>
        <v>2025</v>
      </c>
      <c r="O111" s="146" t="n">
        <f aca="false">MAX(YEAR(O$30),YEAR(Model_Start_Date))</f>
        <v>2026</v>
      </c>
      <c r="P111" s="146" t="n">
        <f aca="false">MAX(YEAR(P$30),YEAR(Model_Start_Date))</f>
        <v>2026</v>
      </c>
    </row>
    <row r="112" customFormat="false" ht="13.8" hidden="false" customHeight="false" outlineLevel="0" collapsed="false">
      <c r="C112" s="14" t="s">
        <v>494</v>
      </c>
      <c r="K112" s="15" t="s">
        <v>644</v>
      </c>
      <c r="L112" s="12"/>
      <c r="M112" s="86" t="n">
        <f aca="false">MATCH(M111,ass_Market!$C$12:$C$63,0)</f>
        <v>2</v>
      </c>
      <c r="N112" s="86" t="n">
        <f aca="false">MATCH(N111,ass_Market!$C$12:$C$63,0)</f>
        <v>1</v>
      </c>
      <c r="O112" s="86" t="n">
        <f aca="false">MATCH(O111,ass_Market!$C$12:$C$63,0)</f>
        <v>2</v>
      </c>
      <c r="P112" s="86" t="n">
        <f aca="false">MATCH(P111,ass_Market!$C$12:$C$63,0)</f>
        <v>2</v>
      </c>
    </row>
    <row r="113" customFormat="false" ht="13.8" hidden="false" customHeight="false" outlineLevel="0" collapsed="false">
      <c r="C113" s="86" t="str">
        <f aca="false" t="array" ref="C113:C119">TRANSPOSE(ass_Market!$W$9:$AC$9)</f>
        <v>IPC</v>
      </c>
      <c r="D113" s="15" t="s">
        <v>232</v>
      </c>
      <c r="F113" s="21" t="n">
        <f aca="false">MATCH($C113,ass_Market!$W$9:$AC$9,0)</f>
        <v>1</v>
      </c>
      <c r="K113" s="15" t="s">
        <v>33</v>
      </c>
      <c r="L113" s="12"/>
      <c r="M113" s="18" t="n">
        <f aca="false" t="array" ref="M113:M113">IF(M$16,INDEX(ass_Market!$W$12:$AC$63,M$112,$F113),1)</f>
        <v>1.02</v>
      </c>
      <c r="N113" s="18" t="n">
        <f aca="false" t="array" ref="N113:N113">IF(N$16,INDEX(ass_Market!$W$12:$AC$63,N$112,$F113),1)</f>
        <v>1</v>
      </c>
      <c r="O113" s="18" t="n">
        <f aca="false" t="array" ref="O113:O113">IF(O$16,INDEX(ass_Market!$W$12:$AC$63,O$112,$F113),1)</f>
        <v>1.02</v>
      </c>
      <c r="P113" s="18" t="n">
        <f aca="false" t="array" ref="P113:P113">IF(P$16,INDEX(ass_Market!$W$12:$AC$63,P$112,$F113),1)</f>
        <v>1.02</v>
      </c>
    </row>
    <row r="114" customFormat="false" ht="13.8" hidden="false" customHeight="false" outlineLevel="0" collapsed="false">
      <c r="C114" s="86" t="str">
        <v>20% IPC</v>
      </c>
      <c r="D114" s="15" t="s">
        <v>232</v>
      </c>
      <c r="F114" s="21" t="n">
        <f aca="false">MATCH($C114,ass_Market!$W$9:$AC$9,0)</f>
        <v>2</v>
      </c>
      <c r="K114" s="15" t="s">
        <v>33</v>
      </c>
      <c r="L114" s="12"/>
      <c r="M114" s="18" t="n">
        <f aca="false" t="array" ref="M114:M114">IF(M$16,INDEX(ass_Market!$W$12:$AC$63,M$112,$F114),1)</f>
        <v>1.004</v>
      </c>
      <c r="N114" s="18" t="n">
        <f aca="false" t="array" ref="N114:N114">IF(N$16,INDEX(ass_Market!$W$12:$AC$63,N$112,$F114),1)</f>
        <v>1</v>
      </c>
      <c r="O114" s="18" t="n">
        <f aca="false" t="array" ref="O114:O114">IF(O$16,INDEX(ass_Market!$W$12:$AC$63,O$112,$F114),1)</f>
        <v>1.004</v>
      </c>
      <c r="P114" s="18" t="n">
        <f aca="false" t="array" ref="P114:P114">IF(P$16,INDEX(ass_Market!$W$12:$AC$63,P$112,$F114),1)</f>
        <v>1.004</v>
      </c>
    </row>
    <row r="115" customFormat="false" ht="13.8" hidden="false" customHeight="false" outlineLevel="0" collapsed="false">
      <c r="C115" s="86" t="str">
        <v>30% IPC</v>
      </c>
      <c r="D115" s="15" t="s">
        <v>232</v>
      </c>
      <c r="F115" s="21" t="n">
        <f aca="false">MATCH($C115,ass_Market!$W$9:$AC$9,0)</f>
        <v>3</v>
      </c>
      <c r="K115" s="15" t="s">
        <v>33</v>
      </c>
      <c r="L115" s="12"/>
      <c r="M115" s="18" t="n">
        <f aca="false" t="array" ref="M115:M115">IF(M$16,INDEX(ass_Market!$W$12:$AC$63,M$112,$F115),1)</f>
        <v>1.006</v>
      </c>
      <c r="N115" s="18" t="n">
        <f aca="false" t="array" ref="N115:N115">IF(N$16,INDEX(ass_Market!$W$12:$AC$63,N$112,$F115),1)</f>
        <v>1</v>
      </c>
      <c r="O115" s="18" t="n">
        <f aca="false" t="array" ref="O115:O115">IF(O$16,INDEX(ass_Market!$W$12:$AC$63,O$112,$F115),1)</f>
        <v>1.006</v>
      </c>
      <c r="P115" s="18" t="n">
        <f aca="false" t="array" ref="P115:P115">IF(P$16,INDEX(ass_Market!$W$12:$AC$63,P$112,$F115),1)</f>
        <v>1.006</v>
      </c>
    </row>
    <row r="116" customFormat="false" ht="13.8" hidden="false" customHeight="false" outlineLevel="0" collapsed="false">
      <c r="C116" s="86" t="str">
        <v>40% IPC</v>
      </c>
      <c r="D116" s="15" t="s">
        <v>232</v>
      </c>
      <c r="F116" s="21" t="n">
        <f aca="false">MATCH($C116,ass_Market!$W$9:$AC$9,0)</f>
        <v>4</v>
      </c>
      <c r="K116" s="15" t="s">
        <v>33</v>
      </c>
      <c r="L116" s="12"/>
      <c r="M116" s="18" t="n">
        <f aca="false" t="array" ref="M116:M116">IF(M$16,INDEX(ass_Market!$W$12:$AC$63,M$112,$F116),1)</f>
        <v>1.008</v>
      </c>
      <c r="N116" s="18" t="n">
        <f aca="false" t="array" ref="N116:N116">IF(N$16,INDEX(ass_Market!$W$12:$AC$63,N$112,$F116),1)</f>
        <v>1</v>
      </c>
      <c r="O116" s="18" t="n">
        <f aca="false" t="array" ref="O116:O116">IF(O$16,INDEX(ass_Market!$W$12:$AC$63,O$112,$F116),1)</f>
        <v>1.008</v>
      </c>
      <c r="P116" s="18" t="n">
        <f aca="false" t="array" ref="P116:P116">IF(P$16,INDEX(ass_Market!$W$12:$AC$63,P$112,$F116),1)</f>
        <v>1.008</v>
      </c>
    </row>
    <row r="117" customFormat="false" ht="13.8" hidden="false" customHeight="false" outlineLevel="0" collapsed="false">
      <c r="C117" s="86" t="n">
        <v>0</v>
      </c>
      <c r="D117" s="15" t="s">
        <v>232</v>
      </c>
      <c r="F117" s="21" t="n">
        <f aca="false">MATCH($C117,ass_Market!$W$9:$AC$9,0)</f>
        <v>5</v>
      </c>
      <c r="K117" s="15" t="s">
        <v>33</v>
      </c>
      <c r="L117" s="12"/>
      <c r="M117" s="18" t="n">
        <f aca="false" t="array" ref="M117:M117">IF(M$16,INDEX(ass_Market!$W$12:$AC$63,M$112,$F117),1)</f>
        <v>1</v>
      </c>
      <c r="N117" s="18" t="n">
        <f aca="false" t="array" ref="N117:N117">IF(N$16,INDEX(ass_Market!$W$12:$AC$63,N$112,$F117),1)</f>
        <v>1</v>
      </c>
      <c r="O117" s="18" t="n">
        <f aca="false" t="array" ref="O117:O117">IF(O$16,INDEX(ass_Market!$W$12:$AC$63,O$112,$F117),1)</f>
        <v>1</v>
      </c>
      <c r="P117" s="18" t="n">
        <f aca="false" t="array" ref="P117:P117">IF(P$16,INDEX(ass_Market!$W$12:$AC$63,P$112,$F117),1)</f>
        <v>1</v>
      </c>
    </row>
    <row r="118" customFormat="false" ht="13.8" hidden="false" customHeight="false" outlineLevel="0" collapsed="false">
      <c r="C118" s="86" t="n">
        <v>0</v>
      </c>
      <c r="D118" s="15" t="s">
        <v>232</v>
      </c>
      <c r="F118" s="21" t="n">
        <f aca="false">MATCH($C118,ass_Market!$W$9:$AC$9,0)</f>
        <v>5</v>
      </c>
      <c r="K118" s="15" t="s">
        <v>33</v>
      </c>
      <c r="L118" s="12"/>
      <c r="M118" s="18" t="n">
        <f aca="false" t="array" ref="M118:M118">IF(M$16,INDEX(ass_Market!$W$12:$AC$63,M$112,$F118),1)</f>
        <v>1</v>
      </c>
      <c r="N118" s="18" t="n">
        <f aca="false" t="array" ref="N118:N118">IF(N$16,INDEX(ass_Market!$W$12:$AC$63,N$112,$F118),1)</f>
        <v>1</v>
      </c>
      <c r="O118" s="18" t="n">
        <f aca="false" t="array" ref="O118:O118">IF(O$16,INDEX(ass_Market!$W$12:$AC$63,O$112,$F118),1)</f>
        <v>1</v>
      </c>
      <c r="P118" s="18" t="n">
        <f aca="false" t="array" ref="P118:P118">IF(P$16,INDEX(ass_Market!$W$12:$AC$63,P$112,$F118),1)</f>
        <v>1</v>
      </c>
    </row>
    <row r="119" customFormat="false" ht="13.8" hidden="false" customHeight="false" outlineLevel="0" collapsed="false">
      <c r="C119" s="86" t="n">
        <v>0</v>
      </c>
      <c r="D119" s="15" t="s">
        <v>232</v>
      </c>
      <c r="F119" s="21" t="n">
        <f aca="false">MATCH($C119,ass_Market!$W$9:$AC$9,0)</f>
        <v>5</v>
      </c>
      <c r="K119" s="15" t="s">
        <v>33</v>
      </c>
      <c r="L119" s="12"/>
      <c r="M119" s="18" t="n">
        <f aca="false" t="array" ref="M119:M119">IF(M$16,INDEX(ass_Market!$W$12:$AC$63,M$112,$F119),1)</f>
        <v>1</v>
      </c>
      <c r="N119" s="18" t="n">
        <f aca="false" t="array" ref="N119:N119">IF(N$16,INDEX(ass_Market!$W$12:$AC$63,N$112,$F119),1)</f>
        <v>1</v>
      </c>
      <c r="O119" s="18" t="n">
        <f aca="false" t="array" ref="O119:O119">IF(O$16,INDEX(ass_Market!$W$12:$AC$63,O$112,$F119),1)</f>
        <v>1</v>
      </c>
      <c r="P119" s="18" t="n">
        <f aca="false" t="array" ref="P119:P119">IF(P$16,INDEX(ass_Market!$W$12:$AC$63,P$112,$F119),1)</f>
        <v>1</v>
      </c>
    </row>
    <row r="120" customFormat="false" ht="13.8" hidden="false" customHeight="false" outlineLevel="0" collapsed="false">
      <c r="K120" s="1"/>
      <c r="L120" s="12"/>
    </row>
    <row r="121" customFormat="false" ht="13.8" hidden="false" customHeight="false" outlineLevel="0" collapsed="false">
      <c r="K121" s="1"/>
      <c r="L121" s="12"/>
    </row>
    <row r="122" customFormat="false" ht="13.8" hidden="false" customHeight="false" outlineLevel="0" collapsed="false">
      <c r="A122" s="40" t="s">
        <v>645</v>
      </c>
      <c r="C122" s="145" t="s">
        <v>646</v>
      </c>
      <c r="K122" s="1"/>
      <c r="L122" s="12"/>
    </row>
    <row r="123" customFormat="false" ht="13.8" hidden="false" customHeight="false" outlineLevel="0" collapsed="false">
      <c r="B123" s="1"/>
      <c r="C123" s="1"/>
      <c r="D123" s="1"/>
      <c r="E123" s="1"/>
      <c r="F123" s="1"/>
      <c r="G123" s="1"/>
      <c r="H123" s="1"/>
      <c r="I123" s="144"/>
      <c r="K123" s="1"/>
      <c r="L123" s="12"/>
      <c r="M123" s="1"/>
      <c r="N123" s="1"/>
      <c r="O123" s="1"/>
      <c r="P123" s="1"/>
    </row>
    <row r="124" customFormat="false" ht="13.8" hidden="false" customHeight="false" outlineLevel="0" collapsed="false">
      <c r="B124" s="1" t="n">
        <v>1</v>
      </c>
      <c r="C124" s="147" t="s">
        <v>647</v>
      </c>
      <c r="G124" s="1"/>
      <c r="I124" s="148"/>
      <c r="L124" s="12"/>
    </row>
    <row r="125" customFormat="false" ht="13.8" hidden="false" customHeight="false" outlineLevel="0" collapsed="false">
      <c r="C125" s="1" t="s">
        <v>648</v>
      </c>
      <c r="G125" s="1"/>
      <c r="H125" s="1"/>
      <c r="I125" s="144"/>
      <c r="J125" s="1"/>
      <c r="K125" s="15" t="s">
        <v>30</v>
      </c>
      <c r="L125" s="12"/>
      <c r="M125" s="93" t="n">
        <v>1</v>
      </c>
      <c r="N125" s="93"/>
      <c r="O125" s="93" t="n">
        <v>2</v>
      </c>
      <c r="P125" s="93" t="n">
        <v>3</v>
      </c>
    </row>
    <row r="126" customFormat="false" ht="13.8" hidden="false" customHeight="false" outlineLevel="0" collapsed="false">
      <c r="B126" s="1"/>
      <c r="C126" s="1" t="s">
        <v>205</v>
      </c>
      <c r="G126" s="15" t="s">
        <v>80</v>
      </c>
      <c r="I126" s="94" t="s">
        <v>206</v>
      </c>
      <c r="K126" s="15" t="s">
        <v>30</v>
      </c>
      <c r="L126" s="12"/>
      <c r="M126" s="24" t="n">
        <f aca="false" t="array" ref="M126:M126">IFERROR(M125*IF(AND($I$22,M22=1),0,1)/INDEX(M$113:M$119,$I$127,),0)</f>
        <v>0.992063492063492</v>
      </c>
      <c r="N126" s="24" t="n">
        <f aca="false" t="array" ref="N126:N126">IFERROR(N125*IF(AND($I$22,N22=1),0,1)/INDEX(N$113:N$119,$I$127,),0)</f>
        <v>0</v>
      </c>
      <c r="O126" s="24" t="n">
        <f aca="false" t="array" ref="O126:O126">IFERROR(O125*IF(AND($I$22,O22=1),0,1)/INDEX(O$113:O$119,$I$127,),0)</f>
        <v>1.98412698412698</v>
      </c>
      <c r="P126" s="24" t="n">
        <f aca="false" t="array" ref="P126:P126">IFERROR(P125*IF(AND($I$22,P22=1),0,1)/INDEX(P$113:P$119,$I$127,),0)</f>
        <v>2.97619047619048</v>
      </c>
    </row>
    <row r="127" customFormat="false" ht="13.8" hidden="false" customHeight="false" outlineLevel="0" collapsed="false">
      <c r="B127" s="1"/>
      <c r="C127" s="1" t="s">
        <v>396</v>
      </c>
      <c r="G127" s="15" t="s">
        <v>232</v>
      </c>
      <c r="I127" s="21" t="n">
        <v>4</v>
      </c>
      <c r="K127" s="15" t="s">
        <v>25</v>
      </c>
      <c r="L127" s="12"/>
      <c r="M127" s="26" t="n">
        <f aca="false">M$30</f>
        <v>46107</v>
      </c>
      <c r="N127" s="26" t="n">
        <f aca="false">N$30</f>
        <v>0</v>
      </c>
      <c r="O127" s="26" t="n">
        <f aca="false">O$30</f>
        <v>46173</v>
      </c>
      <c r="P127" s="26" t="n">
        <f aca="false">P$30</f>
        <v>46173</v>
      </c>
    </row>
    <row r="128" customFormat="false" ht="13.8" hidden="false" customHeight="false" outlineLevel="0" collapsed="false">
      <c r="C128" s="1" t="s">
        <v>649</v>
      </c>
      <c r="K128" s="15" t="s">
        <v>25</v>
      </c>
      <c r="L128" s="12"/>
      <c r="M128" s="26" t="n">
        <f aca="false">M$39</f>
        <v>55458</v>
      </c>
      <c r="N128" s="26" t="n">
        <f aca="false">N$39</f>
        <v>0</v>
      </c>
      <c r="O128" s="26" t="n">
        <f aca="false">O$39</f>
        <v>55524</v>
      </c>
      <c r="P128" s="26" t="n">
        <f aca="false">P$39</f>
        <v>55524</v>
      </c>
    </row>
    <row r="129" customFormat="false" ht="13.8" hidden="false" customHeight="false" outlineLevel="0" collapsed="false">
      <c r="B129" s="1"/>
      <c r="C129" s="1"/>
      <c r="L129" s="12"/>
    </row>
    <row r="130" customFormat="false" ht="13.8" hidden="false" customHeight="false" outlineLevel="0" collapsed="false">
      <c r="B130" s="1" t="n">
        <f aca="false">B124+1</f>
        <v>2</v>
      </c>
      <c r="C130" s="147" t="s">
        <v>650</v>
      </c>
      <c r="G130" s="1"/>
      <c r="I130" s="148"/>
      <c r="L130" s="12"/>
    </row>
    <row r="131" customFormat="false" ht="13.8" hidden="false" customHeight="false" outlineLevel="0" collapsed="false">
      <c r="C131" s="1" t="s">
        <v>648</v>
      </c>
      <c r="G131" s="1"/>
      <c r="H131" s="1"/>
      <c r="I131" s="144"/>
      <c r="J131" s="1"/>
      <c r="K131" s="15" t="s">
        <v>30</v>
      </c>
      <c r="L131" s="12"/>
      <c r="M131" s="93"/>
      <c r="N131" s="93"/>
      <c r="O131" s="93" t="n">
        <v>10</v>
      </c>
      <c r="P131" s="93" t="n">
        <v>20</v>
      </c>
    </row>
    <row r="132" customFormat="false" ht="13.8" hidden="false" customHeight="false" outlineLevel="0" collapsed="false">
      <c r="B132" s="1"/>
      <c r="C132" s="1" t="s">
        <v>205</v>
      </c>
      <c r="G132" s="15" t="s">
        <v>80</v>
      </c>
      <c r="I132" s="94" t="s">
        <v>206</v>
      </c>
      <c r="K132" s="15" t="s">
        <v>30</v>
      </c>
      <c r="L132" s="12"/>
      <c r="M132" s="24" t="n">
        <f aca="false" t="array" ref="M132:M132">IFERROR(M131*IF(AND($I$22,M28=1),0,1)/INDEX(M$113:M$119,$I$133,),0)</f>
        <v>0</v>
      </c>
      <c r="N132" s="24" t="n">
        <f aca="false" t="array" ref="N132:N132">IFERROR(N131*IF(AND($I$22,N28=1),0,1)/INDEX(N$113:N$119,$I$133,),0)</f>
        <v>0</v>
      </c>
      <c r="O132" s="24" t="n">
        <f aca="false" t="array" ref="O132:O132">IFERROR(O131*IF(AND($I$22,O28=1),0,1)/INDEX(O$113:O$119,$I$133,),0)</f>
        <v>9.80392156862745</v>
      </c>
      <c r="P132" s="24" t="n">
        <f aca="false" t="array" ref="P132:P132">IFERROR(P131*IF(AND($I$22,P28=1),0,1)/INDEX(P$113:P$119,$I$133,),0)</f>
        <v>19.6078431372549</v>
      </c>
    </row>
    <row r="133" customFormat="false" ht="13.8" hidden="false" customHeight="false" outlineLevel="0" collapsed="false">
      <c r="B133" s="1"/>
      <c r="C133" s="1" t="s">
        <v>396</v>
      </c>
      <c r="G133" s="15" t="s">
        <v>232</v>
      </c>
      <c r="I133" s="21" t="n">
        <f aca="false">MATCH($I132,ass_Market!$W$9:$AC$9,0)</f>
        <v>1</v>
      </c>
      <c r="K133" s="15" t="s">
        <v>25</v>
      </c>
      <c r="L133" s="12"/>
      <c r="M133" s="26" t="n">
        <f aca="false">M$30</f>
        <v>46107</v>
      </c>
      <c r="N133" s="26" t="n">
        <f aca="false">N$30</f>
        <v>0</v>
      </c>
      <c r="O133" s="26" t="n">
        <f aca="false">O$30</f>
        <v>46173</v>
      </c>
      <c r="P133" s="26" t="n">
        <f aca="false">P$30</f>
        <v>46173</v>
      </c>
    </row>
    <row r="134" customFormat="false" ht="13.8" hidden="false" customHeight="false" outlineLevel="0" collapsed="false">
      <c r="C134" s="1" t="s">
        <v>649</v>
      </c>
      <c r="K134" s="15" t="s">
        <v>25</v>
      </c>
      <c r="L134" s="12"/>
      <c r="M134" s="26" t="n">
        <f aca="false">M$39</f>
        <v>55458</v>
      </c>
      <c r="N134" s="26" t="n">
        <f aca="false">N$39</f>
        <v>0</v>
      </c>
      <c r="O134" s="26" t="n">
        <f aca="false">O$39</f>
        <v>55524</v>
      </c>
      <c r="P134" s="26" t="n">
        <f aca="false">P$39</f>
        <v>55524</v>
      </c>
    </row>
    <row r="135" customFormat="false" ht="13.8" hidden="false" customHeight="false" outlineLevel="0" collapsed="false">
      <c r="B135" s="1"/>
      <c r="C135" s="1"/>
      <c r="L135" s="12"/>
    </row>
    <row r="136" customFormat="false" ht="13.8" hidden="false" customHeight="false" outlineLevel="0" collapsed="false">
      <c r="B136" s="1" t="n">
        <f aca="false">B130+1</f>
        <v>3</v>
      </c>
      <c r="C136" s="149" t="s">
        <v>651</v>
      </c>
      <c r="L136" s="12"/>
    </row>
    <row r="137" customFormat="false" ht="13.8" hidden="false" customHeight="false" outlineLevel="0" collapsed="false">
      <c r="C137" s="150" t="s">
        <v>652</v>
      </c>
      <c r="L137" s="12"/>
      <c r="M137" s="106" t="n">
        <v>0.6324318</v>
      </c>
      <c r="N137" s="106" t="n">
        <v>0.541458</v>
      </c>
      <c r="O137" s="106" t="n">
        <v>0.168291</v>
      </c>
      <c r="P137" s="106" t="n">
        <v>0.168291</v>
      </c>
    </row>
    <row r="138" customFormat="false" ht="13.8" hidden="false" customHeight="false" outlineLevel="0" collapsed="false">
      <c r="C138" s="150" t="s">
        <v>653</v>
      </c>
      <c r="L138" s="12"/>
      <c r="M138" s="106" t="n">
        <v>0.111111111111111</v>
      </c>
      <c r="N138" s="106" t="n">
        <v>0.111111111111111</v>
      </c>
      <c r="O138" s="106" t="n">
        <v>0.111111111111111</v>
      </c>
      <c r="P138" s="106" t="n">
        <v>0.111111111111111</v>
      </c>
    </row>
    <row r="139" customFormat="false" ht="13.8" hidden="false" customHeight="false" outlineLevel="0" collapsed="false">
      <c r="C139" s="147" t="s">
        <v>654</v>
      </c>
      <c r="L139" s="12"/>
      <c r="M139" s="106" t="n">
        <v>0.15</v>
      </c>
      <c r="N139" s="106" t="n">
        <v>0.15</v>
      </c>
      <c r="O139" s="106" t="n">
        <v>0.15</v>
      </c>
      <c r="P139" s="106" t="n">
        <v>0.15</v>
      </c>
    </row>
    <row r="140" customFormat="false" ht="13.8" hidden="false" customHeight="false" outlineLevel="0" collapsed="false">
      <c r="C140" s="147" t="s">
        <v>655</v>
      </c>
      <c r="L140" s="12"/>
      <c r="M140" s="106" t="n">
        <v>0.3</v>
      </c>
      <c r="N140" s="106" t="n">
        <v>0.2</v>
      </c>
      <c r="O140" s="106" t="n">
        <v>0.05</v>
      </c>
      <c r="P140" s="106" t="n">
        <v>0.05</v>
      </c>
    </row>
    <row r="141" customFormat="false" ht="13.8" hidden="false" customHeight="false" outlineLevel="0" collapsed="false">
      <c r="C141" s="147"/>
      <c r="L141" s="12"/>
      <c r="M141" s="106"/>
      <c r="N141" s="106"/>
      <c r="O141" s="106"/>
      <c r="P141" s="106"/>
    </row>
    <row r="142" customFormat="false" ht="13.8" hidden="false" customHeight="false" outlineLevel="0" collapsed="false">
      <c r="C142" s="147"/>
      <c r="L142" s="12"/>
      <c r="M142" s="106"/>
      <c r="N142" s="106"/>
      <c r="O142" s="106"/>
      <c r="P142" s="106"/>
    </row>
    <row r="143" customFormat="false" ht="13.8" hidden="false" customHeight="false" outlineLevel="0" collapsed="false">
      <c r="C143" s="94"/>
      <c r="L143" s="12"/>
      <c r="M143" s="106"/>
      <c r="N143" s="106"/>
      <c r="O143" s="106"/>
      <c r="P143" s="106"/>
    </row>
    <row r="144" customFormat="false" ht="13.8" hidden="false" customHeight="false" outlineLevel="0" collapsed="false">
      <c r="C144" s="94"/>
      <c r="L144" s="12"/>
      <c r="M144" s="106"/>
      <c r="N144" s="106"/>
      <c r="O144" s="106"/>
      <c r="P144" s="106"/>
    </row>
    <row r="145" customFormat="false" ht="13.8" hidden="false" customHeight="false" outlineLevel="0" collapsed="false">
      <c r="C145" s="94"/>
      <c r="L145" s="12"/>
      <c r="M145" s="106"/>
      <c r="N145" s="106"/>
      <c r="O145" s="106"/>
      <c r="P145" s="106"/>
    </row>
    <row r="146" customFormat="false" ht="13.8" hidden="false" customHeight="false" outlineLevel="0" collapsed="false">
      <c r="C146" s="94"/>
      <c r="L146" s="12"/>
      <c r="M146" s="106"/>
      <c r="N146" s="106"/>
      <c r="O146" s="106"/>
      <c r="P146" s="106"/>
    </row>
    <row r="147" customFormat="false" ht="13.8" hidden="false" customHeight="false" outlineLevel="0" collapsed="false">
      <c r="C147" s="94"/>
      <c r="L147" s="12"/>
      <c r="M147" s="106"/>
      <c r="N147" s="106"/>
      <c r="O147" s="106"/>
      <c r="P147" s="106"/>
    </row>
    <row r="148" customFormat="false" ht="13.8" hidden="false" customHeight="false" outlineLevel="0" collapsed="false">
      <c r="C148" s="1" t="s">
        <v>648</v>
      </c>
      <c r="G148" s="1"/>
      <c r="H148" s="1"/>
      <c r="I148" s="144"/>
      <c r="J148" s="1"/>
      <c r="K148" s="15" t="s">
        <v>284</v>
      </c>
      <c r="L148" s="12"/>
      <c r="M148" s="103" t="n">
        <f aca="false">SUM(M137:M147)</f>
        <v>1.19354291111111</v>
      </c>
      <c r="N148" s="103" t="n">
        <f aca="false">SUM(N137:N147)</f>
        <v>1.00256911111111</v>
      </c>
      <c r="O148" s="103" t="n">
        <f aca="false">SUM(O137:O147)</f>
        <v>0.479402111111111</v>
      </c>
      <c r="P148" s="103" t="n">
        <f aca="false">SUM(P137:P147)</f>
        <v>0.479402111111111</v>
      </c>
    </row>
    <row r="149" customFormat="false" ht="13.8" hidden="false" customHeight="false" outlineLevel="0" collapsed="false">
      <c r="B149" s="1"/>
      <c r="C149" s="1" t="s">
        <v>205</v>
      </c>
      <c r="G149" s="15" t="s">
        <v>80</v>
      </c>
      <c r="H149" s="1"/>
      <c r="I149" s="94" t="s">
        <v>206</v>
      </c>
      <c r="K149" s="15" t="s">
        <v>284</v>
      </c>
      <c r="L149" s="12"/>
      <c r="M149" s="24" t="n">
        <f aca="false" t="array" ref="M149:M149">IFERROR(M148*IF(AND($I$22,M22=1),0,1)/INDEX(M$113:M$119,$I$150,),0)</f>
        <v>1.17014010893246</v>
      </c>
      <c r="N149" s="24" t="n">
        <f aca="false" t="array" ref="N149:N149">IFERROR(N148*IF(AND($I$22,N22=1),0,1)/INDEX(N$113:N$119,$I$150,),0)</f>
        <v>1.00256911111111</v>
      </c>
      <c r="O149" s="24" t="n">
        <f aca="false" t="array" ref="O149:O149">IFERROR(O148*IF(AND($I$22,O22=1),0,1)/INDEX(O$113:O$119,$I$150,),0)</f>
        <v>0.470002069716775</v>
      </c>
      <c r="P149" s="24" t="n">
        <f aca="false" t="array" ref="P149:P149">IFERROR(P148*IF(AND($I$22,P22=1),0,1)/INDEX(P$113:P$119,$I$150,),0)</f>
        <v>0.470002069716775</v>
      </c>
    </row>
    <row r="150" customFormat="false" ht="13.8" hidden="false" customHeight="false" outlineLevel="0" collapsed="false">
      <c r="B150" s="1"/>
      <c r="C150" s="1" t="s">
        <v>396</v>
      </c>
      <c r="G150" s="15" t="s">
        <v>232</v>
      </c>
      <c r="I150" s="21" t="n">
        <f aca="false">MATCH($I149,ass_Market!$W$9:$AC$9,0)</f>
        <v>1</v>
      </c>
      <c r="K150" s="15" t="s">
        <v>25</v>
      </c>
      <c r="L150" s="12"/>
      <c r="M150" s="26" t="n">
        <f aca="false">M$30</f>
        <v>46107</v>
      </c>
      <c r="N150" s="26" t="n">
        <f aca="false">N$30</f>
        <v>0</v>
      </c>
      <c r="O150" s="26" t="n">
        <f aca="false">O$30</f>
        <v>46173</v>
      </c>
      <c r="P150" s="26" t="n">
        <f aca="false">P$30</f>
        <v>46173</v>
      </c>
    </row>
    <row r="151" customFormat="false" ht="13.8" hidden="false" customHeight="false" outlineLevel="0" collapsed="false">
      <c r="C151" s="1" t="s">
        <v>649</v>
      </c>
      <c r="K151" s="15" t="s">
        <v>25</v>
      </c>
      <c r="L151" s="12"/>
      <c r="M151" s="26" t="n">
        <f aca="false">M$39</f>
        <v>55458</v>
      </c>
      <c r="N151" s="26" t="n">
        <f aca="false">N$39</f>
        <v>0</v>
      </c>
      <c r="O151" s="26" t="n">
        <f aca="false">O$39</f>
        <v>55524</v>
      </c>
      <c r="P151" s="26" t="n">
        <f aca="false">P$39</f>
        <v>55524</v>
      </c>
    </row>
    <row r="152" customFormat="false" ht="13.8" hidden="false" customHeight="false" outlineLevel="0" collapsed="false">
      <c r="L152" s="90"/>
    </row>
    <row r="153" customFormat="false" ht="13.8" hidden="false" customHeight="false" outlineLevel="0" collapsed="false">
      <c r="B153" s="1" t="n">
        <f aca="false">B136+1</f>
        <v>4</v>
      </c>
      <c r="C153" s="147" t="s">
        <v>87</v>
      </c>
      <c r="I153" s="144"/>
      <c r="K153" s="15"/>
      <c r="L153" s="12"/>
    </row>
    <row r="154" customFormat="false" ht="13.8" hidden="false" customHeight="false" outlineLevel="0" collapsed="false">
      <c r="B154" s="1"/>
      <c r="C154" s="5" t="s">
        <v>648</v>
      </c>
      <c r="G154" s="1"/>
      <c r="H154" s="1"/>
      <c r="I154" s="1"/>
      <c r="J154" s="1"/>
      <c r="K154" s="15" t="s">
        <v>284</v>
      </c>
      <c r="L154" s="12"/>
      <c r="M154" s="106"/>
      <c r="N154" s="106"/>
      <c r="O154" s="106"/>
      <c r="P154" s="106"/>
    </row>
    <row r="155" customFormat="false" ht="13.8" hidden="false" customHeight="false" outlineLevel="0" collapsed="false">
      <c r="B155" s="1"/>
      <c r="C155" s="1" t="s">
        <v>205</v>
      </c>
      <c r="G155" s="15" t="s">
        <v>80</v>
      </c>
      <c r="H155" s="1"/>
      <c r="I155" s="94" t="s">
        <v>206</v>
      </c>
      <c r="K155" s="15" t="s">
        <v>284</v>
      </c>
      <c r="L155" s="12"/>
      <c r="M155" s="24" t="n">
        <f aca="false" t="array" ref="M155:M155">IFERROR(M154*IF(AND($I$22,M22=1),0,1)/INDEX(M$113:M$119,$I$156,),0)</f>
        <v>0</v>
      </c>
      <c r="N155" s="24" t="n">
        <f aca="false" t="array" ref="N155:N155">IFERROR(N154*IF(AND($I$22,N22=1),0,1)/INDEX(N$113:N$119,$I$156,),0)</f>
        <v>0</v>
      </c>
      <c r="O155" s="24" t="n">
        <f aca="false" t="array" ref="O155:O155">IFERROR(O154*IF(AND($I$22,O22=1),0,1)/INDEX(O$113:O$119,$I$156,),0)</f>
        <v>0</v>
      </c>
      <c r="P155" s="24" t="n">
        <f aca="false" t="array" ref="P155:P155">IFERROR(P154*IF(AND($I$22,P22=1),0,1)/INDEX(P$113:P$119,$I$156,),0)</f>
        <v>0</v>
      </c>
    </row>
    <row r="156" customFormat="false" ht="13.8" hidden="false" customHeight="false" outlineLevel="0" collapsed="false">
      <c r="B156" s="1"/>
      <c r="C156" s="1" t="s">
        <v>396</v>
      </c>
      <c r="G156" s="15" t="s">
        <v>232</v>
      </c>
      <c r="I156" s="21" t="n">
        <f aca="false">MATCH($I155,ass_Market!$W$9:$AC$9,0)</f>
        <v>1</v>
      </c>
      <c r="K156" s="15" t="s">
        <v>25</v>
      </c>
      <c r="L156" s="12"/>
      <c r="M156" s="26" t="n">
        <f aca="false">M$30</f>
        <v>46107</v>
      </c>
      <c r="N156" s="26" t="n">
        <f aca="false">N$30</f>
        <v>0</v>
      </c>
      <c r="O156" s="26" t="n">
        <f aca="false">O$30</f>
        <v>46173</v>
      </c>
      <c r="P156" s="26" t="n">
        <f aca="false">P$30</f>
        <v>46173</v>
      </c>
    </row>
    <row r="157" customFormat="false" ht="13.8" hidden="false" customHeight="false" outlineLevel="0" collapsed="false">
      <c r="B157" s="1"/>
      <c r="C157" s="1" t="s">
        <v>649</v>
      </c>
      <c r="G157" s="15"/>
      <c r="H157" s="1"/>
      <c r="I157" s="1"/>
      <c r="K157" s="15" t="s">
        <v>25</v>
      </c>
      <c r="L157" s="12"/>
      <c r="M157" s="26" t="n">
        <f aca="false">M$39</f>
        <v>55458</v>
      </c>
      <c r="N157" s="26" t="n">
        <f aca="false">N$39</f>
        <v>0</v>
      </c>
      <c r="O157" s="26" t="n">
        <f aca="false">O$39</f>
        <v>55524</v>
      </c>
      <c r="P157" s="26" t="n">
        <f aca="false">P$39</f>
        <v>55524</v>
      </c>
    </row>
    <row r="158" customFormat="false" ht="13.8" hidden="false" customHeight="false" outlineLevel="0" collapsed="false">
      <c r="B158" s="1"/>
      <c r="C158" s="1"/>
      <c r="G158" s="1"/>
      <c r="H158" s="1"/>
      <c r="I158" s="1"/>
      <c r="K158" s="1"/>
      <c r="L158" s="12"/>
      <c r="M158" s="1"/>
      <c r="N158" s="1"/>
      <c r="O158" s="1"/>
      <c r="P158" s="1"/>
    </row>
    <row r="159" customFormat="false" ht="13.8" hidden="false" customHeight="false" outlineLevel="0" collapsed="false">
      <c r="G159" s="1"/>
      <c r="H159" s="1"/>
      <c r="I159" s="1"/>
      <c r="L159" s="12"/>
    </row>
    <row r="160" customFormat="false" ht="13.8" hidden="false" customHeight="false" outlineLevel="0" collapsed="false">
      <c r="B160" s="1"/>
      <c r="C160" s="1"/>
      <c r="G160" s="1"/>
      <c r="H160" s="1"/>
      <c r="I160" s="1"/>
      <c r="K160" s="15"/>
      <c r="L160" s="12"/>
    </row>
    <row r="161" customFormat="false" ht="13.8" hidden="false" customHeight="false" outlineLevel="0" collapsed="false">
      <c r="B161" s="1" t="n">
        <f aca="false">B153+1</f>
        <v>5</v>
      </c>
      <c r="C161" s="151" t="s">
        <v>656</v>
      </c>
      <c r="G161" s="1"/>
      <c r="H161" s="1"/>
      <c r="I161" s="1"/>
      <c r="K161" s="15"/>
      <c r="L161" s="12"/>
      <c r="M161" s="152"/>
      <c r="N161" s="152"/>
      <c r="O161" s="152"/>
      <c r="P161" s="152"/>
    </row>
    <row r="162" customFormat="false" ht="13.8" hidden="false" customHeight="false" outlineLevel="0" collapsed="false">
      <c r="C162" s="1" t="s">
        <v>648</v>
      </c>
      <c r="G162" s="1"/>
      <c r="H162" s="1"/>
      <c r="I162" s="144"/>
      <c r="J162" s="1"/>
      <c r="K162" s="15" t="s">
        <v>284</v>
      </c>
      <c r="L162" s="12"/>
      <c r="M162" s="106" t="n">
        <v>0</v>
      </c>
      <c r="N162" s="106" t="n">
        <v>0</v>
      </c>
      <c r="O162" s="106" t="n">
        <v>0</v>
      </c>
      <c r="P162" s="106" t="n">
        <v>0</v>
      </c>
    </row>
    <row r="163" customFormat="false" ht="13.8" hidden="false" customHeight="false" outlineLevel="0" collapsed="false">
      <c r="B163" s="1"/>
      <c r="C163" s="1" t="s">
        <v>205</v>
      </c>
      <c r="G163" s="15" t="s">
        <v>80</v>
      </c>
      <c r="H163" s="1"/>
      <c r="I163" s="94" t="s">
        <v>401</v>
      </c>
      <c r="K163" s="15" t="s">
        <v>284</v>
      </c>
      <c r="L163" s="12"/>
      <c r="M163" s="103" t="n">
        <f aca="false" t="array" ref="M163:M163">IFERROR(M162*IF(AND($I$22,M22=1),0,1)/INDEX(M$113:M$119,$I$164,),0)</f>
        <v>0</v>
      </c>
      <c r="N163" s="103" t="n">
        <f aca="false" t="array" ref="N163:N163">IFERROR(N162*IF(AND($I$22,N22=1),0,1)/INDEX(N$113:N$119,$I$164,),0)</f>
        <v>0</v>
      </c>
      <c r="O163" s="103" t="n">
        <f aca="false" t="array" ref="O163:O163">IFERROR(O162*IF(AND($I$22,O22=1),0,1)/INDEX(O$113:O$119,$I$164,),0)</f>
        <v>0</v>
      </c>
      <c r="P163" s="103" t="n">
        <f aca="false" t="array" ref="P163:P163">IFERROR(P162*IF(AND($I$22,P22=1),0,1)/INDEX(P$113:P$119,$I$164,),0)</f>
        <v>0</v>
      </c>
    </row>
    <row r="164" customFormat="false" ht="13.8" hidden="false" customHeight="false" outlineLevel="0" collapsed="false">
      <c r="B164" s="1"/>
      <c r="C164" s="1" t="s">
        <v>396</v>
      </c>
      <c r="G164" s="15" t="s">
        <v>232</v>
      </c>
      <c r="I164" s="21" t="n">
        <f aca="false">MATCH($I163,ass_Market!$W$9:$AC$9,0)</f>
        <v>4</v>
      </c>
      <c r="K164" s="15" t="s">
        <v>25</v>
      </c>
      <c r="L164" s="12"/>
      <c r="M164" s="26" t="n">
        <f aca="false">M$30</f>
        <v>46107</v>
      </c>
      <c r="N164" s="26" t="n">
        <f aca="false">N$30</f>
        <v>0</v>
      </c>
      <c r="O164" s="26" t="n">
        <f aca="false">O$30</f>
        <v>46173</v>
      </c>
      <c r="P164" s="26" t="n">
        <f aca="false">P$30</f>
        <v>46173</v>
      </c>
    </row>
    <row r="165" customFormat="false" ht="13.8" hidden="false" customHeight="false" outlineLevel="0" collapsed="false">
      <c r="B165" s="1"/>
      <c r="C165" s="1" t="s">
        <v>649</v>
      </c>
      <c r="G165" s="1"/>
      <c r="H165" s="1"/>
      <c r="I165" s="1"/>
      <c r="K165" s="15" t="s">
        <v>25</v>
      </c>
      <c r="L165" s="12"/>
      <c r="M165" s="26" t="n">
        <f aca="false">M$39</f>
        <v>55458</v>
      </c>
      <c r="N165" s="26" t="n">
        <f aca="false">N$39</f>
        <v>0</v>
      </c>
      <c r="O165" s="26" t="n">
        <f aca="false">O$39</f>
        <v>55524</v>
      </c>
      <c r="P165" s="26" t="n">
        <f aca="false">P$39</f>
        <v>55524</v>
      </c>
    </row>
    <row r="166" customFormat="false" ht="13.8" hidden="false" customHeight="false" outlineLevel="0" collapsed="false">
      <c r="B166" s="1"/>
      <c r="C166" s="1"/>
      <c r="G166" s="1"/>
      <c r="H166" s="1"/>
      <c r="I166" s="1"/>
      <c r="K166" s="1"/>
      <c r="L166" s="12"/>
      <c r="M166" s="1"/>
      <c r="N166" s="1"/>
      <c r="O166" s="1"/>
      <c r="P166" s="1"/>
    </row>
    <row r="167" customFormat="false" ht="13.8" hidden="false" customHeight="false" outlineLevel="0" collapsed="false">
      <c r="B167" s="1" t="n">
        <f aca="false">B161+1</f>
        <v>6</v>
      </c>
      <c r="C167" s="147" t="s">
        <v>87</v>
      </c>
      <c r="G167" s="1"/>
      <c r="H167" s="1"/>
      <c r="I167" s="1"/>
      <c r="L167" s="12"/>
    </row>
    <row r="168" customFormat="false" ht="13.8" hidden="false" customHeight="false" outlineLevel="0" collapsed="false">
      <c r="C168" s="1" t="s">
        <v>648</v>
      </c>
      <c r="G168" s="1"/>
      <c r="H168" s="1"/>
      <c r="I168" s="144"/>
      <c r="J168" s="1"/>
      <c r="K168" s="15" t="s">
        <v>284</v>
      </c>
      <c r="L168" s="12"/>
      <c r="M168" s="93"/>
      <c r="N168" s="93"/>
      <c r="O168" s="93"/>
      <c r="P168" s="93"/>
    </row>
    <row r="169" customFormat="false" ht="13.8" hidden="false" customHeight="false" outlineLevel="0" collapsed="false">
      <c r="B169" s="1"/>
      <c r="C169" s="1" t="s">
        <v>205</v>
      </c>
      <c r="G169" s="15" t="s">
        <v>80</v>
      </c>
      <c r="H169" s="1"/>
      <c r="I169" s="94" t="s">
        <v>206</v>
      </c>
      <c r="K169" s="15" t="s">
        <v>284</v>
      </c>
      <c r="L169" s="12"/>
      <c r="M169" s="103" t="n">
        <f aca="false" t="array" ref="M169:M169">IFERROR(M168*IF(AND($I$22,M22=1),0,1)/INDEX(M$113:M$119,$I$170,),0)</f>
        <v>0</v>
      </c>
      <c r="N169" s="103" t="n">
        <f aca="false" t="array" ref="N169:N169">IFERROR(N168*IF(AND($I$22,N22=1),0,1)/INDEX(N$113:N$119,$I$170,),0)</f>
        <v>0</v>
      </c>
      <c r="O169" s="103" t="n">
        <f aca="false" t="array" ref="O169:O169">IFERROR(O168*IF(AND($I$22,O22=1),0,1)/INDEX(O$113:O$119,$I$170,),0)</f>
        <v>0</v>
      </c>
      <c r="P169" s="103" t="n">
        <f aca="false" t="array" ref="P169:P169">IFERROR(P168*IF(AND($I$22,P22=1),0,1)/INDEX(P$113:P$119,$I$170,),0)</f>
        <v>0</v>
      </c>
    </row>
    <row r="170" customFormat="false" ht="13.8" hidden="false" customHeight="false" outlineLevel="0" collapsed="false">
      <c r="B170" s="1"/>
      <c r="C170" s="1" t="s">
        <v>396</v>
      </c>
      <c r="G170" s="15" t="s">
        <v>232</v>
      </c>
      <c r="I170" s="21" t="n">
        <f aca="false">MATCH($I169,ass_Market!$W$9:$AC$9,0)</f>
        <v>1</v>
      </c>
      <c r="K170" s="15" t="s">
        <v>25</v>
      </c>
      <c r="L170" s="12"/>
      <c r="M170" s="26" t="n">
        <f aca="false">M$30</f>
        <v>46107</v>
      </c>
      <c r="N170" s="26" t="n">
        <f aca="false">N$30</f>
        <v>0</v>
      </c>
      <c r="O170" s="26" t="n">
        <f aca="false">O$30</f>
        <v>46173</v>
      </c>
      <c r="P170" s="26" t="n">
        <f aca="false">P$30</f>
        <v>46173</v>
      </c>
    </row>
    <row r="171" customFormat="false" ht="13.8" hidden="false" customHeight="false" outlineLevel="0" collapsed="false">
      <c r="B171" s="1"/>
      <c r="C171" s="1" t="s">
        <v>649</v>
      </c>
      <c r="G171" s="1"/>
      <c r="H171" s="1"/>
      <c r="I171" s="1"/>
      <c r="K171" s="15" t="s">
        <v>25</v>
      </c>
      <c r="L171" s="12"/>
      <c r="M171" s="26" t="n">
        <f aca="false">M$39</f>
        <v>55458</v>
      </c>
      <c r="N171" s="26" t="n">
        <f aca="false">N$39</f>
        <v>0</v>
      </c>
      <c r="O171" s="26" t="n">
        <f aca="false">O$39</f>
        <v>55524</v>
      </c>
      <c r="P171" s="26" t="n">
        <f aca="false">P$39</f>
        <v>55524</v>
      </c>
    </row>
    <row r="172" customFormat="false" ht="13.8" hidden="false" customHeight="false" outlineLevel="0" collapsed="false">
      <c r="B172" s="1"/>
      <c r="C172" s="1"/>
      <c r="D172" s="1"/>
      <c r="E172" s="1"/>
      <c r="F172" s="1"/>
      <c r="G172" s="1"/>
      <c r="H172" s="1"/>
      <c r="I172" s="1"/>
      <c r="K172" s="1"/>
      <c r="L172" s="12"/>
      <c r="M172" s="1"/>
      <c r="N172" s="1"/>
      <c r="O172" s="1"/>
      <c r="P172" s="1"/>
    </row>
    <row r="173" customFormat="false" ht="13.8" hidden="false" customHeight="false" outlineLevel="0" collapsed="false">
      <c r="B173" s="1" t="n">
        <f aca="false">B167+1</f>
        <v>7</v>
      </c>
      <c r="C173" s="147" t="s">
        <v>87</v>
      </c>
      <c r="D173" s="1"/>
      <c r="E173" s="1"/>
      <c r="F173" s="1"/>
      <c r="G173" s="1"/>
      <c r="H173" s="1"/>
      <c r="I173" s="1"/>
      <c r="L173" s="12"/>
    </row>
    <row r="174" customFormat="false" ht="13.8" hidden="false" customHeight="false" outlineLevel="0" collapsed="false">
      <c r="C174" s="1" t="s">
        <v>648</v>
      </c>
      <c r="D174" s="1"/>
      <c r="E174" s="1"/>
      <c r="F174" s="1"/>
      <c r="G174" s="1"/>
      <c r="H174" s="1"/>
      <c r="I174" s="1"/>
      <c r="K174" s="15" t="s">
        <v>284</v>
      </c>
      <c r="L174" s="12"/>
      <c r="M174" s="93"/>
      <c r="N174" s="93"/>
      <c r="O174" s="93"/>
      <c r="P174" s="93"/>
    </row>
    <row r="175" customFormat="false" ht="13.8" hidden="false" customHeight="false" outlineLevel="0" collapsed="false">
      <c r="B175" s="1"/>
      <c r="C175" s="1" t="s">
        <v>205</v>
      </c>
      <c r="D175" s="1"/>
      <c r="E175" s="1"/>
      <c r="F175" s="1"/>
      <c r="G175" s="15" t="s">
        <v>80</v>
      </c>
      <c r="H175" s="1"/>
      <c r="I175" s="94" t="s">
        <v>206</v>
      </c>
      <c r="K175" s="15" t="s">
        <v>284</v>
      </c>
      <c r="L175" s="12"/>
      <c r="M175" s="103" t="n">
        <f aca="false" t="array" ref="M175:M175">IFERROR(M174*IF(AND($I$22,M22=1),0,1)/INDEX(M$113:M$119,$I$176,),0)</f>
        <v>0</v>
      </c>
      <c r="N175" s="103" t="n">
        <f aca="false" t="array" ref="N175:N175">IFERROR(N174*IF(AND($I$22,N22=1),0,1)/INDEX(N$113:N$119,$I$176,),0)</f>
        <v>0</v>
      </c>
      <c r="O175" s="103" t="n">
        <f aca="false" t="array" ref="O175:O175">IFERROR(O174*IF(AND($I$22,O22=1),0,1)/INDEX(O$113:O$119,$I$176,),0)</f>
        <v>0</v>
      </c>
      <c r="P175" s="103" t="n">
        <f aca="false" t="array" ref="P175:P175">IFERROR(P174*IF(AND($I$22,P22=1),0,1)/INDEX(P$113:P$119,$I$176,),0)</f>
        <v>0</v>
      </c>
    </row>
    <row r="176" customFormat="false" ht="13.8" hidden="false" customHeight="false" outlineLevel="0" collapsed="false">
      <c r="B176" s="1"/>
      <c r="C176" s="1" t="s">
        <v>396</v>
      </c>
      <c r="D176" s="1"/>
      <c r="E176" s="1"/>
      <c r="F176" s="1"/>
      <c r="G176" s="15" t="s">
        <v>232</v>
      </c>
      <c r="I176" s="21" t="n">
        <f aca="false">MATCH($I175,ass_Market!$W$9:$AC$9,0)</f>
        <v>1</v>
      </c>
      <c r="K176" s="15" t="s">
        <v>25</v>
      </c>
      <c r="L176" s="12"/>
      <c r="M176" s="26" t="n">
        <f aca="false">M$30</f>
        <v>46107</v>
      </c>
      <c r="N176" s="26" t="n">
        <f aca="false">N$30</f>
        <v>0</v>
      </c>
      <c r="O176" s="26" t="n">
        <f aca="false">O$30</f>
        <v>46173</v>
      </c>
      <c r="P176" s="26" t="n">
        <f aca="false">P$30</f>
        <v>46173</v>
      </c>
    </row>
    <row r="177" customFormat="false" ht="13.8" hidden="false" customHeight="false" outlineLevel="0" collapsed="false">
      <c r="C177" s="1" t="s">
        <v>649</v>
      </c>
      <c r="K177" s="15" t="s">
        <v>25</v>
      </c>
      <c r="L177" s="12"/>
      <c r="M177" s="26" t="n">
        <f aca="false">M$39</f>
        <v>55458</v>
      </c>
      <c r="N177" s="26" t="n">
        <f aca="false">N$39</f>
        <v>0</v>
      </c>
      <c r="O177" s="26" t="n">
        <f aca="false">O$39</f>
        <v>55524</v>
      </c>
      <c r="P177" s="26" t="n">
        <f aca="false">P$39</f>
        <v>55524</v>
      </c>
    </row>
    <row r="178" customFormat="false" ht="13.8" hidden="false" customHeight="false" outlineLevel="0" collapsed="false">
      <c r="A178" s="0"/>
      <c r="B178" s="1"/>
      <c r="C178" s="1"/>
      <c r="D178" s="1"/>
      <c r="E178" s="1"/>
      <c r="F178" s="1"/>
      <c r="G178" s="1"/>
      <c r="H178" s="1"/>
      <c r="I178" s="1"/>
      <c r="K178" s="1"/>
      <c r="L178" s="12"/>
      <c r="M178" s="1"/>
      <c r="N178" s="1"/>
      <c r="O178" s="1"/>
      <c r="P178" s="1"/>
    </row>
    <row r="179" customFormat="false" ht="13.8" hidden="false" customHeight="false" outlineLevel="0" collapsed="false">
      <c r="A179" s="40" t="s">
        <v>657</v>
      </c>
      <c r="B179" s="11" t="n">
        <f aca="false">B108+1</f>
        <v>6</v>
      </c>
      <c r="C179" s="11" t="s">
        <v>658</v>
      </c>
      <c r="D179" s="11"/>
      <c r="E179" s="11"/>
      <c r="F179" s="11"/>
      <c r="G179" s="11"/>
      <c r="H179" s="11"/>
      <c r="I179" s="11"/>
      <c r="J179" s="11"/>
      <c r="K179" s="11"/>
      <c r="L179" s="11"/>
      <c r="M179" s="11"/>
      <c r="N179" s="11"/>
      <c r="O179" s="11"/>
      <c r="P179" s="11"/>
    </row>
    <row r="180" customFormat="false" ht="13.8" hidden="false" customHeight="false" outlineLevel="0" collapsed="false">
      <c r="B180" s="1"/>
      <c r="C180" s="1"/>
      <c r="D180" s="1"/>
      <c r="E180" s="1"/>
      <c r="F180" s="1"/>
      <c r="G180" s="1"/>
      <c r="H180" s="1"/>
      <c r="I180" s="1"/>
      <c r="K180" s="1"/>
      <c r="L180" s="12"/>
      <c r="M180" s="1"/>
      <c r="N180" s="1"/>
      <c r="O180" s="1"/>
      <c r="P180" s="1"/>
    </row>
    <row r="181" customFormat="false" ht="13.8" hidden="false" customHeight="false" outlineLevel="0" collapsed="false">
      <c r="B181" s="1"/>
      <c r="C181" s="14" t="s">
        <v>196</v>
      </c>
      <c r="D181" s="1"/>
      <c r="E181" s="1"/>
      <c r="F181" s="1"/>
      <c r="G181" s="1"/>
      <c r="H181" s="1"/>
      <c r="I181" s="1"/>
      <c r="K181" s="1"/>
      <c r="L181" s="12"/>
      <c r="M181" s="1"/>
      <c r="N181" s="1"/>
      <c r="O181" s="1"/>
      <c r="P181" s="1"/>
    </row>
    <row r="182" customFormat="false" ht="14.9" hidden="false" customHeight="false" outlineLevel="0" collapsed="false">
      <c r="B182" s="1"/>
      <c r="C182" s="1" t="s">
        <v>659</v>
      </c>
      <c r="D182" s="1"/>
      <c r="E182" s="1"/>
      <c r="F182" s="1"/>
      <c r="G182" s="1"/>
      <c r="H182" s="1"/>
      <c r="I182" s="1"/>
      <c r="K182" s="15" t="s">
        <v>109</v>
      </c>
      <c r="L182" s="12"/>
      <c r="M182" s="63" t="b">
        <f aca="false">FALSE()</f>
        <v>0</v>
      </c>
      <c r="N182" s="63" t="b">
        <f aca="false">FALSE()</f>
        <v>0</v>
      </c>
      <c r="O182" s="63" t="b">
        <f aca="false">FALSE()</f>
        <v>0</v>
      </c>
      <c r="P182" s="63" t="b">
        <f aca="false">FALSE()</f>
        <v>0</v>
      </c>
    </row>
    <row r="183" customFormat="false" ht="13.8" hidden="false" customHeight="false" outlineLevel="0" collapsed="false">
      <c r="B183" s="1"/>
      <c r="C183" s="1" t="s">
        <v>660</v>
      </c>
      <c r="D183" s="1"/>
      <c r="E183" s="1"/>
      <c r="F183" s="1"/>
      <c r="G183" s="1" t="s">
        <v>661</v>
      </c>
      <c r="H183" s="15" t="s">
        <v>33</v>
      </c>
      <c r="I183" s="63" t="n">
        <v>0.03</v>
      </c>
      <c r="K183" s="15" t="s">
        <v>483</v>
      </c>
      <c r="L183" s="12"/>
      <c r="M183" s="67"/>
      <c r="N183" s="67"/>
      <c r="O183" s="67"/>
      <c r="P183" s="67"/>
    </row>
    <row r="184" customFormat="false" ht="14.9" hidden="false" customHeight="false" outlineLevel="0" collapsed="false">
      <c r="B184" s="1"/>
      <c r="C184" s="1" t="s">
        <v>662</v>
      </c>
      <c r="D184" s="1"/>
      <c r="E184" s="1"/>
      <c r="F184" s="1"/>
      <c r="G184" s="1" t="s">
        <v>662</v>
      </c>
      <c r="H184" s="15" t="s">
        <v>483</v>
      </c>
      <c r="I184" s="106" t="n">
        <v>100</v>
      </c>
      <c r="K184" s="15" t="s">
        <v>109</v>
      </c>
      <c r="L184" s="12"/>
      <c r="M184" s="10" t="b">
        <f aca="false">AND(AND(M16,OR(M59&gt;=$I$184,M182=TRUE())),IF(AND($I$22,M22=1),FALSE(),TRUE()))</f>
        <v>1</v>
      </c>
      <c r="N184" s="10" t="b">
        <f aca="false">AND(AND(N16,OR(N59&gt;=$I$184,N182=TRUE())),IF(AND($I$22,N22=1),FALSE(),TRUE()))</f>
        <v>0</v>
      </c>
      <c r="O184" s="10" t="b">
        <f aca="false">AND(AND(O16,OR(O59&gt;=$I$184,O182=TRUE())),IF(AND($I$22,O22=1),FALSE(),TRUE()))</f>
        <v>0</v>
      </c>
      <c r="P184" s="10" t="b">
        <f aca="false">AND(AND(P16,OR(P59&gt;=$I$184,P182=TRUE())),IF(AND($I$22,P22=1),FALSE(),TRUE()))</f>
        <v>0</v>
      </c>
    </row>
    <row r="185" customFormat="false" ht="13.8" hidden="false" customHeight="false" outlineLevel="0" collapsed="false">
      <c r="B185" s="1"/>
      <c r="C185" s="1" t="s">
        <v>663</v>
      </c>
      <c r="D185" s="1"/>
      <c r="E185" s="1"/>
      <c r="F185" s="1"/>
      <c r="G185" s="1" t="s">
        <v>663</v>
      </c>
      <c r="H185" s="15" t="s">
        <v>33</v>
      </c>
      <c r="I185" s="63" t="n">
        <v>0.8</v>
      </c>
      <c r="K185" s="15" t="s">
        <v>33</v>
      </c>
      <c r="L185" s="12"/>
      <c r="M185" s="18" t="n">
        <f aca="false">IF(AND(M183&lt;&gt;0,M183&lt;&gt;""),M183/M59,$I$185)</f>
        <v>0.8</v>
      </c>
      <c r="N185" s="18" t="n">
        <f aca="false">IF(AND(N183&lt;&gt;0,N183&lt;&gt;""),N183/N59,$I$185)</f>
        <v>0.8</v>
      </c>
      <c r="O185" s="18" t="n">
        <f aca="false">IF(AND(O183&lt;&gt;0,O183&lt;&gt;""),O183/O59,$I$185)</f>
        <v>0.8</v>
      </c>
      <c r="P185" s="18" t="n">
        <f aca="false">IF(AND(P183&lt;&gt;0,P183&lt;&gt;""),P183/P59,$I$185)</f>
        <v>0.8</v>
      </c>
    </row>
    <row r="186" customFormat="false" ht="13.8" hidden="false" customHeight="false" outlineLevel="0" collapsed="false">
      <c r="B186" s="1"/>
      <c r="C186" s="1" t="s">
        <v>664</v>
      </c>
      <c r="D186" s="1"/>
      <c r="E186" s="1"/>
      <c r="F186" s="1"/>
      <c r="G186" s="1"/>
      <c r="H186" s="1"/>
      <c r="I186" s="1"/>
      <c r="K186" s="15" t="s">
        <v>483</v>
      </c>
      <c r="L186" s="12"/>
      <c r="M186" s="16" t="n">
        <f aca="false">IF(M$16=TRUE(),IF(M184=TRUE(),IF(M182=TRUE(),IF(M183="",0,M183),M185*M59),0),)</f>
        <v>127.764</v>
      </c>
      <c r="N186" s="16" t="n">
        <f aca="false">IF(N$16=TRUE(),IF(N184=TRUE(),IF(N182=TRUE(),IF(N183="",0,N183),N185*N59),0),)</f>
        <v>0</v>
      </c>
      <c r="O186" s="16" t="n">
        <f aca="false">IF(O$16=TRUE(),IF(O184=TRUE(),IF(O182=TRUE(),IF(O183="",0,O183),O185*O59),0),)</f>
        <v>0</v>
      </c>
      <c r="P186" s="16" t="n">
        <f aca="false">IF(P$16=TRUE(),IF(P184=TRUE(),IF(P182=TRUE(),IF(P183="",0,P183),P185*P59),0),)</f>
        <v>0</v>
      </c>
    </row>
    <row r="187" customFormat="false" ht="13.8" hidden="false" customHeight="false" outlineLevel="0" collapsed="false">
      <c r="B187" s="1"/>
      <c r="C187" s="1"/>
      <c r="D187" s="1"/>
      <c r="E187" s="1"/>
      <c r="F187" s="1"/>
      <c r="G187" s="1"/>
      <c r="H187" s="1"/>
      <c r="I187" s="1"/>
      <c r="K187" s="1"/>
      <c r="L187" s="12"/>
      <c r="M187" s="1"/>
      <c r="N187" s="1"/>
      <c r="O187" s="1"/>
      <c r="P187" s="1"/>
    </row>
    <row r="188" customFormat="false" ht="13.8" hidden="false" customHeight="false" outlineLevel="0" collapsed="false">
      <c r="B188" s="1"/>
      <c r="C188" s="1" t="s">
        <v>665</v>
      </c>
      <c r="D188" s="1"/>
      <c r="E188" s="1"/>
      <c r="F188" s="1"/>
      <c r="G188" s="1"/>
      <c r="H188" s="1"/>
      <c r="I188" s="1"/>
      <c r="K188" s="15" t="s">
        <v>201</v>
      </c>
      <c r="L188" s="12"/>
      <c r="M188" s="24" t="n">
        <f aca="false">(((M4="solar")*(ass_Model!$M$93&lt;M$30)*ass_Model!$M$96+(M4="solar")*(ass_Model!$M$93&gt;=M$30)*ass_Model!$M$95+(M4="wind")*ass_Model!$M$100)*(1+$I$183))/INDEX(ass_Market!$W$12:$AC$63,MATCH(ass_Model!$M$103,ass_Market!$C$12:$C$63,0),MATCH(ass_Model!$M$102,ass_Market!$W$9:$AC$9,0))</f>
        <v>3.64826</v>
      </c>
      <c r="N188" s="24" t="n">
        <f aca="false">(((N4="solar")*(ass_Model!$M$93&lt;N$30)*ass_Model!$M$96+(N4="solar")*(ass_Model!$M$93&gt;=N$30)*ass_Model!$M$95+(N4="wind")*ass_Model!$M$100)*(1+$I$183))/INDEX(ass_Market!$W$12:$AC$63,MATCH(ass_Model!$M$103,ass_Market!$C$12:$C$63,0),MATCH(ass_Model!$M$102,ass_Market!$W$9:$AC$9,0))</f>
        <v>8.7653</v>
      </c>
      <c r="O188" s="24" t="n">
        <f aca="false">(((O4="solar")*(ass_Model!$M$93&lt;O$30)*ass_Model!$M$96+(O4="solar")*(ass_Model!$M$93&gt;=O$30)*ass_Model!$M$95+(O4="wind")*ass_Model!$M$100)*(1+$I$183))/INDEX(ass_Market!$W$12:$AC$63,MATCH(ass_Model!$M$103,ass_Market!$C$12:$C$63,0),MATCH(ass_Model!$M$102,ass_Market!$W$9:$AC$9,0))</f>
        <v>3.64826</v>
      </c>
      <c r="P188" s="24" t="n">
        <f aca="false">(((P4="solar")*(ass_Model!$M$93&lt;P$30)*ass_Model!$M$96+(P4="solar")*(ass_Model!$M$93&gt;=P$30)*ass_Model!$M$95+(P4="wind")*ass_Model!$M$100)*(1+$I$183))/INDEX(ass_Market!$W$12:$AC$63,MATCH(ass_Model!$M$103,ass_Market!$C$12:$C$63,0),MATCH(ass_Model!$M$102,ass_Market!$W$9:$AC$9,0))</f>
        <v>3.64826</v>
      </c>
    </row>
    <row r="189" customFormat="false" ht="13.8" hidden="false" customHeight="false" outlineLevel="0" collapsed="false">
      <c r="B189" s="1"/>
      <c r="C189" s="1" t="s">
        <v>666</v>
      </c>
      <c r="D189" s="1"/>
      <c r="E189" s="1"/>
      <c r="F189" s="1"/>
      <c r="G189" s="1"/>
      <c r="H189" s="1"/>
      <c r="I189" s="1"/>
      <c r="K189" s="15" t="s">
        <v>201</v>
      </c>
      <c r="L189" s="12"/>
      <c r="M189" s="24" t="n">
        <f aca="false">(((M4="solar")*(ass_Model!$M$93&lt;M$30)*ass_Model!$M$97+(M4="solar")*(ass_Model!$M$93&gt;=M$30)*ass_Model!$M$95)*(1+$I$183))/INDEX(ass_Market!$W$12:$AC$63,MATCH(ass_Model!$M$103,ass_Market!$C$12:$C$63,0),MATCH(ass_Model!$M$102,ass_Market!$W$9:$AC$9,0))</f>
        <v>8.7653</v>
      </c>
      <c r="N189" s="24" t="n">
        <f aca="false">(((N4="solar")*(ass_Model!$M$93&lt;N$30)*ass_Model!$M$97+(N4="solar")*(ass_Model!$M$93&gt;=N$30)*ass_Model!$M$95)*(1+$I$183))/INDEX(ass_Market!$W$12:$AC$63,MATCH(ass_Model!$M$103,ass_Market!$C$12:$C$63,0),MATCH(ass_Model!$M$102,ass_Market!$W$9:$AC$9,0))</f>
        <v>8.7653</v>
      </c>
      <c r="O189" s="24" t="n">
        <f aca="false">(((O4="solar")*(ass_Model!$M$93&lt;O$30)*ass_Model!$M$97+(O4="solar")*(ass_Model!$M$93&gt;=O$30)*ass_Model!$M$95)*(1+$I$183))/INDEX(ass_Market!$W$12:$AC$63,MATCH(ass_Model!$M$103,ass_Market!$C$12:$C$63,0),MATCH(ass_Model!$M$102,ass_Market!$W$9:$AC$9,0))</f>
        <v>8.7653</v>
      </c>
      <c r="P189" s="24" t="n">
        <f aca="false">(((P4="solar")*(ass_Model!$M$93&lt;P$30)*ass_Model!$M$97+(P4="solar")*(ass_Model!$M$93&gt;=P$30)*ass_Model!$M$95)*(1+$I$183))/INDEX(ass_Market!$W$12:$AC$63,MATCH(ass_Model!$M$103,ass_Market!$C$12:$C$63,0),MATCH(ass_Model!$M$102,ass_Market!$W$9:$AC$9,0))</f>
        <v>8.7653</v>
      </c>
    </row>
    <row r="190" customFormat="false" ht="13.8" hidden="false" customHeight="false" outlineLevel="0" collapsed="false">
      <c r="B190" s="1"/>
      <c r="C190" s="1"/>
      <c r="D190" s="1"/>
      <c r="E190" s="1"/>
      <c r="F190" s="1"/>
      <c r="G190" s="1"/>
      <c r="H190" s="1"/>
      <c r="I190" s="1"/>
      <c r="K190" s="1"/>
      <c r="L190" s="12"/>
      <c r="M190" s="1"/>
      <c r="N190" s="1"/>
      <c r="O190" s="1"/>
      <c r="P190" s="1"/>
    </row>
    <row r="191" customFormat="false" ht="13.8" hidden="false" customHeight="false" outlineLevel="0" collapsed="false">
      <c r="B191" s="1"/>
      <c r="C191" s="14" t="s">
        <v>667</v>
      </c>
      <c r="D191" s="1"/>
      <c r="E191" s="1"/>
      <c r="F191" s="1"/>
      <c r="G191" s="1"/>
      <c r="H191" s="1"/>
      <c r="I191" s="1"/>
      <c r="L191" s="12"/>
    </row>
    <row r="192" customFormat="false" ht="13.8" hidden="false" customHeight="false" outlineLevel="0" collapsed="false">
      <c r="B192" s="1"/>
      <c r="C192" s="150" t="s">
        <v>668</v>
      </c>
      <c r="D192" s="1"/>
      <c r="E192" s="1"/>
      <c r="F192" s="1"/>
      <c r="G192" s="1"/>
      <c r="H192" s="1"/>
      <c r="I192" s="144"/>
      <c r="J192" s="1"/>
      <c r="K192" s="15" t="s">
        <v>284</v>
      </c>
      <c r="L192" s="12"/>
      <c r="M192" s="93" t="n">
        <v>0.15</v>
      </c>
      <c r="N192" s="93" t="n">
        <v>0.15</v>
      </c>
      <c r="O192" s="93" t="n">
        <v>0.15</v>
      </c>
      <c r="P192" s="93" t="n">
        <v>0.15</v>
      </c>
    </row>
    <row r="193" customFormat="false" ht="13.8" hidden="false" customHeight="false" outlineLevel="0" collapsed="false">
      <c r="B193" s="1"/>
      <c r="C193" s="150" t="s">
        <v>669</v>
      </c>
      <c r="D193" s="1"/>
      <c r="E193" s="1"/>
      <c r="F193" s="1"/>
      <c r="G193" s="1"/>
      <c r="H193" s="1"/>
      <c r="I193" s="144"/>
      <c r="J193" s="1"/>
      <c r="K193" s="15" t="s">
        <v>284</v>
      </c>
      <c r="L193" s="12"/>
      <c r="M193" s="93" t="n">
        <v>0.50904</v>
      </c>
      <c r="N193" s="93" t="n">
        <v>0.50904</v>
      </c>
      <c r="O193" s="93" t="n">
        <v>0.03828</v>
      </c>
      <c r="P193" s="93" t="n">
        <v>0.03828</v>
      </c>
    </row>
    <row r="194" customFormat="false" ht="13.8" hidden="false" customHeight="false" outlineLevel="0" collapsed="false">
      <c r="B194" s="1"/>
      <c r="C194" s="117" t="s">
        <v>670</v>
      </c>
      <c r="D194" s="117"/>
      <c r="E194" s="117"/>
      <c r="F194" s="117"/>
      <c r="G194" s="117"/>
      <c r="H194" s="117"/>
      <c r="I194" s="117"/>
      <c r="J194" s="117"/>
      <c r="K194" s="118" t="s">
        <v>284</v>
      </c>
      <c r="L194" s="119"/>
      <c r="M194" s="153" t="n">
        <f aca="false">IF(M$16=TRUE(),SUM(M192:M193)/INDEX(ass_Market!$W$12:$AC$63,MATCH(YEAR(M195),ass_Market!$C$12:$C$63,0),MATCH($I197,ass_Market!$W$9:$AC$9,0)),)</f>
        <v>0.646117647058824</v>
      </c>
      <c r="N194" s="153" t="n">
        <f aca="false">IF(N$16=TRUE(),SUM(N192:N193)/INDEX(ass_Market!$W$12:$AC$63,MATCH(YEAR(N195),ass_Market!$C$12:$C$63,0),MATCH($I197,ass_Market!$W$9:$AC$9,0)),)</f>
        <v>0</v>
      </c>
      <c r="O194" s="153" t="n">
        <f aca="false">IF(O$16=TRUE(),SUM(O192:O193)/INDEX(ass_Market!$W$12:$AC$63,MATCH(YEAR(O195),ass_Market!$C$12:$C$63,0),MATCH($I197,ass_Market!$W$9:$AC$9,0)),)</f>
        <v>0.184588235294118</v>
      </c>
      <c r="P194" s="153" t="n">
        <f aca="false">IF(P$16=TRUE(),SUM(P192:P193)/INDEX(ass_Market!$W$12:$AC$63,MATCH(YEAR(P195),ass_Market!$C$12:$C$63,0),MATCH($I197,ass_Market!$W$9:$AC$9,0)),)</f>
        <v>0.184588235294118</v>
      </c>
    </row>
    <row r="195" customFormat="false" ht="13.8" hidden="false" customHeight="false" outlineLevel="0" collapsed="false">
      <c r="B195" s="1"/>
      <c r="C195" s="1" t="s">
        <v>396</v>
      </c>
      <c r="D195" s="1"/>
      <c r="E195" s="1"/>
      <c r="F195" s="1"/>
      <c r="G195" s="1"/>
      <c r="H195" s="1"/>
      <c r="I195" s="1"/>
      <c r="J195" s="1"/>
      <c r="K195" s="15" t="s">
        <v>25</v>
      </c>
      <c r="L195" s="12"/>
      <c r="M195" s="26" t="n">
        <f aca="false">M$30</f>
        <v>46107</v>
      </c>
      <c r="N195" s="26" t="n">
        <f aca="false">N$30</f>
        <v>0</v>
      </c>
      <c r="O195" s="26" t="n">
        <f aca="false">O$30</f>
        <v>46173</v>
      </c>
      <c r="P195" s="26" t="n">
        <f aca="false">P$30</f>
        <v>46173</v>
      </c>
    </row>
    <row r="196" customFormat="false" ht="13.8" hidden="false" customHeight="false" outlineLevel="0" collapsed="false">
      <c r="B196" s="1"/>
      <c r="C196" s="1" t="s">
        <v>649</v>
      </c>
      <c r="D196" s="1"/>
      <c r="E196" s="1"/>
      <c r="F196" s="1"/>
      <c r="G196" s="1"/>
      <c r="H196" s="1"/>
      <c r="I196" s="1"/>
      <c r="K196" s="15" t="s">
        <v>25</v>
      </c>
      <c r="L196" s="12"/>
      <c r="M196" s="26" t="n">
        <f aca="false">M$39</f>
        <v>55458</v>
      </c>
      <c r="N196" s="26" t="n">
        <f aca="false">N$39</f>
        <v>0</v>
      </c>
      <c r="O196" s="26" t="n">
        <f aca="false">O$39</f>
        <v>55524</v>
      </c>
      <c r="P196" s="26" t="n">
        <f aca="false">P$39</f>
        <v>55524</v>
      </c>
    </row>
    <row r="197" customFormat="false" ht="13.8" hidden="false" customHeight="false" outlineLevel="0" collapsed="false">
      <c r="B197" s="1"/>
      <c r="C197" s="1" t="s">
        <v>205</v>
      </c>
      <c r="D197" s="1"/>
      <c r="E197" s="1"/>
      <c r="F197" s="1"/>
      <c r="G197" s="15" t="s">
        <v>80</v>
      </c>
      <c r="H197" s="1"/>
      <c r="I197" s="94" t="s">
        <v>206</v>
      </c>
      <c r="K197" s="1"/>
      <c r="L197" s="12"/>
      <c r="M197" s="1"/>
      <c r="N197" s="1"/>
      <c r="O197" s="1"/>
      <c r="P197" s="1"/>
    </row>
    <row r="198" customFormat="false" ht="13.8" hidden="false" customHeight="false" outlineLevel="0" collapsed="false">
      <c r="B198" s="1"/>
      <c r="C198" s="1"/>
      <c r="D198" s="1"/>
      <c r="E198" s="1"/>
      <c r="F198" s="1"/>
      <c r="G198" s="15" t="s">
        <v>232</v>
      </c>
      <c r="I198" s="21" t="n">
        <f aca="false">MATCH($I197,ass_Market!$W$9:$AC$9,0)</f>
        <v>1</v>
      </c>
      <c r="K198" s="1"/>
      <c r="L198" s="12"/>
      <c r="M198" s="1"/>
      <c r="N198" s="1"/>
      <c r="O198" s="1"/>
      <c r="P198" s="1"/>
    </row>
    <row r="199" customFormat="false" ht="13.8" hidden="false" customHeight="false" outlineLevel="0" collapsed="false">
      <c r="B199" s="11" t="n">
        <f aca="false">+B179+1</f>
        <v>7</v>
      </c>
      <c r="C199" s="11" t="s">
        <v>671</v>
      </c>
      <c r="D199" s="11"/>
      <c r="E199" s="11"/>
      <c r="F199" s="11"/>
      <c r="G199" s="11"/>
      <c r="H199" s="11"/>
      <c r="I199" s="11"/>
      <c r="J199" s="11"/>
      <c r="K199" s="11"/>
      <c r="L199" s="11"/>
      <c r="M199" s="11"/>
      <c r="N199" s="11"/>
      <c r="O199" s="11"/>
      <c r="P199" s="11"/>
    </row>
    <row r="200" customFormat="false" ht="13.8" hidden="false" customHeight="false" outlineLevel="0" collapsed="false">
      <c r="B200" s="1"/>
      <c r="C200" s="1"/>
      <c r="D200" s="1"/>
      <c r="E200" s="1"/>
      <c r="F200" s="1"/>
      <c r="G200" s="1"/>
      <c r="H200" s="1"/>
      <c r="I200" s="1"/>
      <c r="K200" s="1"/>
      <c r="L200" s="12"/>
      <c r="M200" s="1"/>
      <c r="N200" s="1"/>
      <c r="O200" s="1"/>
      <c r="P200" s="1"/>
    </row>
    <row r="201" customFormat="false" ht="13.8" hidden="false" customHeight="false" outlineLevel="0" collapsed="false">
      <c r="B201" s="1"/>
      <c r="C201" s="5" t="s">
        <v>672</v>
      </c>
      <c r="D201" s="1"/>
      <c r="E201" s="1"/>
      <c r="F201" s="1"/>
      <c r="G201" s="1"/>
      <c r="H201" s="1"/>
      <c r="I201" s="1"/>
      <c r="K201" s="1"/>
      <c r="L201" s="12"/>
      <c r="M201" s="1"/>
      <c r="N201" s="1"/>
      <c r="O201" s="1"/>
      <c r="P201" s="1"/>
    </row>
    <row r="202" customFormat="false" ht="13.8" hidden="false" customHeight="false" outlineLevel="0" collapsed="false">
      <c r="C202" s="1" t="s">
        <v>673</v>
      </c>
      <c r="D202" s="1"/>
      <c r="E202" s="1"/>
      <c r="F202" s="61" t="n">
        <v>1</v>
      </c>
      <c r="G202" s="1"/>
      <c r="H202" s="15" t="s">
        <v>108</v>
      </c>
      <c r="I202" s="64" t="n">
        <f aca="false">12*20</f>
        <v>240</v>
      </c>
      <c r="K202" s="1"/>
      <c r="L202" s="12"/>
    </row>
    <row r="203" customFormat="false" ht="13.8" hidden="false" customHeight="false" outlineLevel="0" collapsed="false">
      <c r="C203" s="1" t="s">
        <v>674</v>
      </c>
      <c r="D203" s="1"/>
      <c r="E203" s="1"/>
      <c r="F203" s="61" t="n">
        <v>2</v>
      </c>
      <c r="G203" s="1"/>
      <c r="H203" s="15" t="s">
        <v>108</v>
      </c>
      <c r="I203" s="64" t="n">
        <v>120</v>
      </c>
      <c r="K203" s="1"/>
      <c r="L203" s="12"/>
    </row>
    <row r="204" customFormat="false" ht="13.8" hidden="false" customHeight="false" outlineLevel="0" collapsed="false">
      <c r="B204" s="1"/>
      <c r="C204" s="5" t="s">
        <v>391</v>
      </c>
      <c r="D204" s="1"/>
      <c r="E204" s="14"/>
      <c r="F204" s="14"/>
      <c r="G204" s="1"/>
      <c r="H204" s="1"/>
      <c r="I204" s="1"/>
      <c r="J204" s="1"/>
      <c r="L204" s="12"/>
    </row>
    <row r="205" customFormat="false" ht="13.8" hidden="false" customHeight="false" outlineLevel="0" collapsed="false">
      <c r="C205" s="154" t="s">
        <v>675</v>
      </c>
      <c r="D205" s="117"/>
      <c r="E205" s="155"/>
      <c r="F205" s="155"/>
      <c r="G205" s="117"/>
      <c r="H205" s="118" t="s">
        <v>676</v>
      </c>
      <c r="I205" s="156" t="n">
        <v>1</v>
      </c>
      <c r="J205" s="157"/>
      <c r="K205" s="118" t="s">
        <v>12</v>
      </c>
      <c r="L205" s="119"/>
      <c r="M205" s="158" t="n">
        <v>172</v>
      </c>
      <c r="N205" s="158" t="n">
        <v>141</v>
      </c>
      <c r="O205" s="158" t="n">
        <v>10</v>
      </c>
      <c r="P205" s="158" t="n">
        <v>10</v>
      </c>
    </row>
    <row r="206" customFormat="false" ht="13.8" hidden="false" customHeight="false" outlineLevel="0" collapsed="false">
      <c r="C206" s="159" t="s">
        <v>677</v>
      </c>
      <c r="D206" s="1"/>
      <c r="E206" s="136"/>
      <c r="F206" s="136"/>
      <c r="G206" s="1"/>
      <c r="H206" s="15" t="s">
        <v>676</v>
      </c>
      <c r="I206" s="94" t="n">
        <v>1</v>
      </c>
      <c r="J206" s="1"/>
      <c r="K206" s="15" t="s">
        <v>12</v>
      </c>
      <c r="L206" s="12"/>
      <c r="M206" s="64" t="n">
        <v>27.95505</v>
      </c>
      <c r="N206" s="64" t="n">
        <v>19.67575</v>
      </c>
      <c r="O206" s="64" t="n">
        <v>0</v>
      </c>
      <c r="P206" s="64" t="n">
        <v>0</v>
      </c>
    </row>
    <row r="207" customFormat="false" ht="13.8" hidden="false" customHeight="false" outlineLevel="0" collapsed="false">
      <c r="C207" s="159" t="s">
        <v>655</v>
      </c>
      <c r="D207" s="1"/>
      <c r="E207" s="136"/>
      <c r="F207" s="136"/>
      <c r="G207" s="1"/>
      <c r="H207" s="15" t="s">
        <v>676</v>
      </c>
      <c r="I207" s="94" t="n">
        <v>1</v>
      </c>
      <c r="J207" s="1"/>
      <c r="K207" s="15" t="s">
        <v>12</v>
      </c>
      <c r="L207" s="12"/>
      <c r="M207" s="64" t="n">
        <v>2</v>
      </c>
      <c r="N207" s="64" t="n">
        <v>2</v>
      </c>
      <c r="O207" s="64" t="n">
        <v>2</v>
      </c>
      <c r="P207" s="64" t="n">
        <v>2</v>
      </c>
    </row>
    <row r="208" customFormat="false" ht="13.8" hidden="false" customHeight="false" outlineLevel="0" collapsed="false">
      <c r="C208" s="159" t="s">
        <v>678</v>
      </c>
      <c r="D208" s="1"/>
      <c r="E208" s="136"/>
      <c r="F208" s="136"/>
      <c r="G208" s="1"/>
      <c r="H208" s="15" t="s">
        <v>676</v>
      </c>
      <c r="I208" s="94" t="n">
        <v>1</v>
      </c>
      <c r="J208" s="1"/>
      <c r="K208" s="15" t="s">
        <v>12</v>
      </c>
      <c r="L208" s="12"/>
      <c r="M208" s="64" t="n">
        <v>0</v>
      </c>
      <c r="N208" s="64" t="n">
        <v>0</v>
      </c>
      <c r="O208" s="64" t="n">
        <v>0</v>
      </c>
      <c r="P208" s="64" t="n">
        <v>0</v>
      </c>
    </row>
    <row r="209" customFormat="false" ht="13.8" hidden="false" customHeight="false" outlineLevel="0" collapsed="false">
      <c r="C209" s="159" t="s">
        <v>679</v>
      </c>
      <c r="D209" s="1"/>
      <c r="F209" s="136"/>
      <c r="G209" s="1"/>
      <c r="H209" s="15" t="s">
        <v>676</v>
      </c>
      <c r="I209" s="94" t="n">
        <v>1</v>
      </c>
      <c r="J209" s="1"/>
      <c r="K209" s="15" t="s">
        <v>12</v>
      </c>
      <c r="L209" s="12"/>
      <c r="M209" s="64" t="n">
        <v>4</v>
      </c>
      <c r="N209" s="64" t="n">
        <v>4</v>
      </c>
      <c r="O209" s="64" t="n">
        <v>4</v>
      </c>
      <c r="P209" s="64" t="n">
        <v>4</v>
      </c>
    </row>
    <row r="210" customFormat="false" ht="13.8" hidden="false" customHeight="false" outlineLevel="0" collapsed="false">
      <c r="C210" s="159" t="s">
        <v>680</v>
      </c>
      <c r="D210" s="1"/>
      <c r="E210" s="136"/>
      <c r="F210" s="136"/>
      <c r="G210" s="1"/>
      <c r="H210" s="15" t="s">
        <v>676</v>
      </c>
      <c r="I210" s="94" t="n">
        <v>1</v>
      </c>
      <c r="J210" s="1"/>
      <c r="K210" s="15" t="s">
        <v>12</v>
      </c>
      <c r="L210" s="12"/>
      <c r="M210" s="64" t="n">
        <v>23.47875</v>
      </c>
      <c r="N210" s="64" t="n">
        <v>14.985</v>
      </c>
      <c r="O210" s="64" t="n">
        <v>4.6575</v>
      </c>
      <c r="P210" s="64" t="n">
        <v>4.6575</v>
      </c>
    </row>
    <row r="211" customFormat="false" ht="13.8" hidden="false" customHeight="false" outlineLevel="0" collapsed="false">
      <c r="C211" s="159" t="s">
        <v>681</v>
      </c>
      <c r="D211" s="1"/>
      <c r="E211" s="136"/>
      <c r="F211" s="136"/>
      <c r="G211" s="1"/>
      <c r="H211" s="15" t="s">
        <v>676</v>
      </c>
      <c r="I211" s="94" t="n">
        <v>1</v>
      </c>
      <c r="J211" s="1"/>
      <c r="K211" s="15" t="s">
        <v>12</v>
      </c>
      <c r="L211" s="12"/>
      <c r="M211" s="64" t="n">
        <v>0</v>
      </c>
      <c r="N211" s="64" t="n">
        <v>0</v>
      </c>
      <c r="O211" s="64" t="n">
        <v>0</v>
      </c>
      <c r="P211" s="64" t="n">
        <v>0</v>
      </c>
    </row>
    <row r="212" customFormat="false" ht="13.8" hidden="false" customHeight="false" outlineLevel="0" collapsed="false">
      <c r="C212" s="159"/>
      <c r="D212" s="1"/>
      <c r="E212" s="136"/>
      <c r="F212" s="136"/>
      <c r="G212" s="1"/>
      <c r="H212" s="15" t="s">
        <v>676</v>
      </c>
      <c r="I212" s="94" t="n">
        <v>1</v>
      </c>
      <c r="J212" s="1"/>
      <c r="K212" s="15" t="s">
        <v>12</v>
      </c>
      <c r="L212" s="12"/>
      <c r="M212" s="64"/>
      <c r="N212" s="64"/>
      <c r="O212" s="64"/>
      <c r="P212" s="64"/>
    </row>
    <row r="213" customFormat="false" ht="13.8" hidden="false" customHeight="false" outlineLevel="0" collapsed="false">
      <c r="C213" s="159"/>
      <c r="E213" s="136"/>
      <c r="F213" s="136"/>
      <c r="G213" s="1"/>
      <c r="H213" s="15" t="s">
        <v>676</v>
      </c>
      <c r="I213" s="94" t="n">
        <v>1</v>
      </c>
      <c r="J213" s="1"/>
      <c r="K213" s="15" t="s">
        <v>12</v>
      </c>
      <c r="L213" s="12"/>
      <c r="M213" s="64"/>
      <c r="N213" s="64"/>
      <c r="O213" s="64"/>
      <c r="P213" s="64"/>
    </row>
    <row r="214" customFormat="false" ht="13.8" hidden="false" customHeight="false" outlineLevel="0" collapsed="false">
      <c r="C214" s="159"/>
      <c r="D214" s="1"/>
      <c r="E214" s="136"/>
      <c r="F214" s="136"/>
      <c r="G214" s="1"/>
      <c r="H214" s="15" t="s">
        <v>676</v>
      </c>
      <c r="I214" s="94" t="n">
        <v>1</v>
      </c>
      <c r="J214" s="1"/>
      <c r="K214" s="15" t="s">
        <v>12</v>
      </c>
      <c r="L214" s="12"/>
      <c r="M214" s="64"/>
      <c r="N214" s="64"/>
      <c r="O214" s="64"/>
      <c r="P214" s="64"/>
    </row>
    <row r="215" customFormat="false" ht="13.8" hidden="false" customHeight="false" outlineLevel="0" collapsed="false">
      <c r="C215" s="159"/>
      <c r="E215" s="136"/>
      <c r="F215" s="136"/>
      <c r="G215" s="1"/>
      <c r="H215" s="15" t="s">
        <v>676</v>
      </c>
      <c r="I215" s="94" t="n">
        <v>1</v>
      </c>
      <c r="J215" s="1"/>
      <c r="K215" s="15" t="s">
        <v>12</v>
      </c>
      <c r="L215" s="12"/>
      <c r="M215" s="64"/>
      <c r="N215" s="64"/>
      <c r="O215" s="64"/>
      <c r="P215" s="64"/>
    </row>
    <row r="216" customFormat="false" ht="13.8" hidden="false" customHeight="false" outlineLevel="0" collapsed="false">
      <c r="C216" s="160"/>
      <c r="D216" s="113"/>
      <c r="E216" s="161"/>
      <c r="F216" s="161"/>
      <c r="G216" s="113"/>
      <c r="H216" s="162" t="s">
        <v>676</v>
      </c>
      <c r="I216" s="163" t="n">
        <v>1</v>
      </c>
      <c r="J216" s="113"/>
      <c r="K216" s="162" t="s">
        <v>12</v>
      </c>
      <c r="L216" s="114"/>
      <c r="M216" s="164"/>
      <c r="N216" s="164"/>
      <c r="O216" s="164"/>
      <c r="P216" s="164"/>
    </row>
    <row r="217" customFormat="false" ht="13.8" hidden="false" customHeight="false" outlineLevel="0" collapsed="false">
      <c r="L217" s="90"/>
    </row>
    <row r="218" customFormat="false" ht="13.8" hidden="false" customHeight="false" outlineLevel="0" collapsed="false">
      <c r="C218" s="5" t="s">
        <v>682</v>
      </c>
      <c r="D218" s="1"/>
      <c r="E218" s="165"/>
      <c r="F218" s="165"/>
      <c r="K218" s="15" t="s">
        <v>12</v>
      </c>
      <c r="L218" s="12"/>
      <c r="M218" s="16" t="n">
        <f aca="false">IF(M$16,SUMIF($I$205:$I$216,$F$202,M$205:M$216),)</f>
        <v>229.4338</v>
      </c>
      <c r="N218" s="16" t="n">
        <f aca="false">IF(N$16,SUMIF($I$205:$I$216,$F$202,N$205:N$216),)</f>
        <v>0</v>
      </c>
      <c r="O218" s="16" t="n">
        <f aca="false">IF(O$16,SUMIF($I$205:$I$216,$F$202,O$205:O$216),)</f>
        <v>20.6575</v>
      </c>
      <c r="P218" s="16" t="n">
        <f aca="false">IF(P$16,SUMIF($I$205:$I$216,$F$202,P$205:P$216),)</f>
        <v>20.6575</v>
      </c>
    </row>
    <row r="219" customFormat="false" ht="13.8" hidden="false" customHeight="false" outlineLevel="0" collapsed="false">
      <c r="B219" s="1"/>
      <c r="C219" s="5" t="s">
        <v>683</v>
      </c>
      <c r="D219" s="1"/>
      <c r="E219" s="1"/>
      <c r="F219" s="1"/>
      <c r="K219" s="15" t="s">
        <v>12</v>
      </c>
      <c r="L219" s="12"/>
      <c r="M219" s="16" t="n">
        <f aca="false">IF(M$16,SUMIF($I$205:$I$216,$F$203,M$205:M$216),)</f>
        <v>0</v>
      </c>
      <c r="N219" s="16" t="n">
        <f aca="false">IF(N$16,SUMIF($I$205:$I$216,$F$203,N$205:N$216),)</f>
        <v>0</v>
      </c>
      <c r="O219" s="16" t="n">
        <f aca="false">IF(O$16,SUMIF($I$205:$I$216,$F$203,O$205:O$216),)</f>
        <v>0</v>
      </c>
      <c r="P219" s="16" t="n">
        <f aca="false">IF(P$16,SUMIF($I$205:$I$216,$F$203,P$205:P$216),)</f>
        <v>0</v>
      </c>
    </row>
    <row r="220" customFormat="false" ht="13.8" hidden="false" customHeight="false" outlineLevel="0" collapsed="false">
      <c r="B220" s="1"/>
      <c r="C220" s="5" t="s">
        <v>392</v>
      </c>
      <c r="D220" s="1"/>
      <c r="E220" s="1"/>
      <c r="F220" s="1"/>
      <c r="K220" s="162" t="s">
        <v>12</v>
      </c>
      <c r="L220" s="12"/>
      <c r="M220" s="16" t="e">
        <f aca="false">IF(M$16,INDEX(#REF!,,M$8)*M$425,)</f>
        <v>#VALUE!</v>
      </c>
      <c r="N220" s="16" t="n">
        <f aca="false">IF(N$16,INDEX(#REF!,,N$8)*N$425,)</f>
        <v>0</v>
      </c>
      <c r="O220" s="16" t="e">
        <f aca="false">IF(O$16,INDEX(#REF!,,O$8)*O$425,)</f>
        <v>#VALUE!</v>
      </c>
      <c r="P220" s="16" t="e">
        <f aca="false">IF(P$16,INDEX(#REF!,,P$8)*P$425,)</f>
        <v>#VALUE!</v>
      </c>
    </row>
    <row r="221" customFormat="false" ht="13.8" hidden="false" customHeight="false" outlineLevel="0" collapsed="false">
      <c r="B221" s="1"/>
      <c r="C221" s="166" t="s">
        <v>684</v>
      </c>
      <c r="D221" s="117"/>
      <c r="E221" s="117"/>
      <c r="F221" s="117"/>
      <c r="G221" s="117"/>
      <c r="H221" s="117"/>
      <c r="I221" s="167"/>
      <c r="J221" s="117"/>
      <c r="K221" s="118" t="s">
        <v>12</v>
      </c>
      <c r="L221" s="90"/>
      <c r="M221" s="120" t="e">
        <f aca="false">IF(M$16,SUM(M218:M220),0)</f>
        <v>#VALUE!</v>
      </c>
      <c r="N221" s="120" t="n">
        <f aca="false">IF(N$16,SUM(N218:N220),0)</f>
        <v>0</v>
      </c>
      <c r="O221" s="120" t="e">
        <f aca="false">IF(O$16,SUM(O218:O220),0)</f>
        <v>#VALUE!</v>
      </c>
      <c r="P221" s="120" t="e">
        <f aca="false">IF(P$16,SUM(P218:P220),0)</f>
        <v>#VALUE!</v>
      </c>
    </row>
    <row r="222" customFormat="false" ht="13.8" hidden="false" customHeight="false" outlineLevel="0" collapsed="false">
      <c r="B222" s="1"/>
      <c r="C222" s="14" t="s">
        <v>685</v>
      </c>
      <c r="D222" s="1"/>
      <c r="E222" s="1"/>
      <c r="F222" s="14" t="s">
        <v>686</v>
      </c>
      <c r="G222" s="14" t="s">
        <v>513</v>
      </c>
      <c r="H222" s="1"/>
      <c r="I222" s="14" t="s">
        <v>514</v>
      </c>
      <c r="K222" s="1"/>
      <c r="L222" s="12"/>
      <c r="M222" s="1"/>
      <c r="N222" s="1"/>
      <c r="O222" s="1"/>
      <c r="P222" s="1"/>
    </row>
    <row r="223" customFormat="false" ht="13.8" hidden="false" customHeight="false" outlineLevel="0" collapsed="false">
      <c r="G223" s="1"/>
      <c r="H223" s="1"/>
      <c r="I223" s="168" t="n">
        <v>0</v>
      </c>
      <c r="K223" s="1"/>
      <c r="L223" s="12"/>
    </row>
    <row r="224" customFormat="false" ht="13.8" hidden="false" customHeight="false" outlineLevel="0" collapsed="false">
      <c r="F224" s="5" t="e">
        <f aca="false">MATCH(G224,#REF!)</f>
        <v>#VALUE!</v>
      </c>
      <c r="G224" s="169" t="n">
        <f aca="false">IF(I223=0,Model_Start_Date,I223+1)</f>
        <v>45658</v>
      </c>
      <c r="H224" s="1"/>
      <c r="I224" s="169" t="n">
        <f aca="false">EOMONTH(G224,0)</f>
        <v>45688</v>
      </c>
      <c r="K224" s="15" t="s">
        <v>687</v>
      </c>
      <c r="L224" s="12"/>
      <c r="M224" s="170" t="n">
        <f aca="false">IF(AND(M$26&lt;=$G$224,$G224=Model_Start_Date),1,IF(AND(M$25&lt;=$G$224,M$26&lt;=$I$224,$G224=Model_Start_Date),1,IF(AND(M$25&lt;=$G$224,M$26&gt;=$G$224,$G224=Model_Start_Date),($I$224-M$25+1)/(M$26-M$25+1),IF(AND($G224&gt;=M$25,$I224&lt;=M$26),($I224-$G224+1)/(M$26-M$25+1),IF(AND($G224&lt;=M$25,$I224&gt;=M$26),1,IF(AND($G224&lt;=M$25,$I224&gt;=M$25),($I224-M$25+1)/(M$26-M$25+1),IF(AND($G224&lt;=M$26,$I224&gt;=M$26),(M$26-$G224+1)/(M$26-M$25+1),0)))))))</f>
        <v>0</v>
      </c>
      <c r="N224" s="170" t="n">
        <f aca="false">IF(AND(N$26&lt;=$G$224,$G224=Model_Start_Date),1,IF(AND(N$25&lt;=$G$224,N$26&lt;=$I$224,$G224=Model_Start_Date),1,IF(AND(N$25&lt;=$G$224,N$26&gt;=$G$224,$G224=Model_Start_Date),($I$224-N$25+1)/(N$26-N$25+1),IF(AND($G224&gt;=N$25,$I224&lt;=N$26),($I224-$G224+1)/(N$26-N$25+1),IF(AND($G224&lt;=N$25,$I224&gt;=N$26),1,IF(AND($G224&lt;=N$25,$I224&gt;=N$25),($I224-N$25+1)/(N$26-N$25+1),IF(AND($G224&lt;=N$26,$I224&gt;=N$26),(N$26-$G224+1)/(N$26-N$25+1),0)))))))</f>
        <v>0</v>
      </c>
      <c r="O224" s="170" t="n">
        <f aca="false">IF(AND(O$26&lt;=$G$224,$G224=Model_Start_Date),1,IF(AND(O$25&lt;=$G$224,O$26&lt;=$I$224,$G224=Model_Start_Date),1,IF(AND(O$25&lt;=$G$224,O$26&gt;=$G$224,$G224=Model_Start_Date),($I$224-O$25+1)/(O$26-O$25+1),IF(AND($G224&gt;=O$25,$I224&lt;=O$26),($I224-$G224+1)/(O$26-O$25+1),IF(AND($G224&lt;=O$25,$I224&gt;=O$26),1,IF(AND($G224&lt;=O$25,$I224&gt;=O$25),($I224-O$25+1)/(O$26-O$25+1),IF(AND($G224&lt;=O$26,$I224&gt;=O$26),(O$26-$G224+1)/(O$26-O$25+1),0)))))))</f>
        <v>0</v>
      </c>
      <c r="P224" s="170" t="n">
        <f aca="false">IF(AND(P$26&lt;=$G$224,$G224=Model_Start_Date),1,IF(AND(P$25&lt;=$G$224,P$26&lt;=$I$224,$G224=Model_Start_Date),1,IF(AND(P$25&lt;=$G$224,P$26&gt;=$G$224,$G224=Model_Start_Date),($I$224-P$25+1)/(P$26-P$25+1),IF(AND($G224&gt;=P$25,$I224&lt;=P$26),($I224-$G224+1)/(P$26-P$25+1),IF(AND($G224&lt;=P$25,$I224&gt;=P$26),1,IF(AND($G224&lt;=P$25,$I224&gt;=P$25),($I224-P$25+1)/(P$26-P$25+1),IF(AND($G224&lt;=P$26,$I224&gt;=P$26),(P$26-$G224+1)/(P$26-P$25+1),0)))))))</f>
        <v>0</v>
      </c>
    </row>
    <row r="225" customFormat="false" ht="13.8" hidden="false" customHeight="false" outlineLevel="0" collapsed="false">
      <c r="F225" s="5" t="e">
        <f aca="false">MATCH(G225,#REF!)</f>
        <v>#VALUE!</v>
      </c>
      <c r="G225" s="169" t="n">
        <f aca="false">IF(I224=0,Model_Start_Date,I224+1)</f>
        <v>45689</v>
      </c>
      <c r="H225" s="1"/>
      <c r="I225" s="169" t="n">
        <f aca="false">EOMONTH(G225,0)</f>
        <v>45716</v>
      </c>
      <c r="K225" s="15" t="s">
        <v>687</v>
      </c>
      <c r="L225" s="12"/>
      <c r="M225" s="170" t="n">
        <f aca="false">IF(AND(M$26&lt;=$G$224,$G225=Model_Start_Date),1,IF(AND(M$25&lt;=$G$224,M$26&lt;=$I$224,$G225=Model_Start_Date),1,IF(AND(M$25&lt;=$G$224,M$26&gt;=$G$224,$G225=Model_Start_Date),($I$224-M$25+1)/(M$26-M$25+1),IF(AND($G225&gt;=M$25,$I225&lt;=M$26),($I225-$G225+1)/(M$26-M$25+1),IF(AND($G225&lt;=M$25,$I225&gt;=M$26),1,IF(AND($G225&lt;=M$25,$I225&gt;=M$25),($I225-M$25+1)/(M$26-M$25+1),IF(AND($G225&lt;=M$26,$I225&gt;=M$26),(M$26-$G225+1)/(M$26-M$25+1),0)))))))</f>
        <v>0</v>
      </c>
      <c r="N225" s="170" t="n">
        <f aca="false">IF(AND(N$26&lt;=$G$224,$G225=Model_Start_Date),1,IF(AND(N$25&lt;=$G$224,N$26&lt;=$I$224,$G225=Model_Start_Date),1,IF(AND(N$25&lt;=$G$224,N$26&gt;=$G$224,$G225=Model_Start_Date),($I$224-N$25+1)/(N$26-N$25+1),IF(AND($G225&gt;=N$25,$I225&lt;=N$26),($I225-$G225+1)/(N$26-N$25+1),IF(AND($G225&lt;=N$25,$I225&gt;=N$26),1,IF(AND($G225&lt;=N$25,$I225&gt;=N$25),($I225-N$25+1)/(N$26-N$25+1),IF(AND($G225&lt;=N$26,$I225&gt;=N$26),(N$26-$G225+1)/(N$26-N$25+1),0)))))))</f>
        <v>0</v>
      </c>
      <c r="O225" s="170" t="n">
        <f aca="false">IF(AND(O$26&lt;=$G$224,$G225=Model_Start_Date),1,IF(AND(O$25&lt;=$G$224,O$26&lt;=$I$224,$G225=Model_Start_Date),1,IF(AND(O$25&lt;=$G$224,O$26&gt;=$G$224,$G225=Model_Start_Date),($I$224-O$25+1)/(O$26-O$25+1),IF(AND($G225&gt;=O$25,$I225&lt;=O$26),($I225-$G225+1)/(O$26-O$25+1),IF(AND($G225&lt;=O$25,$I225&gt;=O$26),1,IF(AND($G225&lt;=O$25,$I225&gt;=O$25),($I225-O$25+1)/(O$26-O$25+1),IF(AND($G225&lt;=O$26,$I225&gt;=O$26),(O$26-$G225+1)/(O$26-O$25+1),0)))))))</f>
        <v>0</v>
      </c>
      <c r="P225" s="170" t="n">
        <f aca="false">IF(AND(P$26&lt;=$G$224,$G225=Model_Start_Date),1,IF(AND(P$25&lt;=$G$224,P$26&lt;=$I$224,$G225=Model_Start_Date),1,IF(AND(P$25&lt;=$G$224,P$26&gt;=$G$224,$G225=Model_Start_Date),($I$224-P$25+1)/(P$26-P$25+1),IF(AND($G225&gt;=P$25,$I225&lt;=P$26),($I225-$G225+1)/(P$26-P$25+1),IF(AND($G225&lt;=P$25,$I225&gt;=P$26),1,IF(AND($G225&lt;=P$25,$I225&gt;=P$25),($I225-P$25+1)/(P$26-P$25+1),IF(AND($G225&lt;=P$26,$I225&gt;=P$26),(P$26-$G225+1)/(P$26-P$25+1),0)))))))</f>
        <v>0</v>
      </c>
    </row>
    <row r="226" customFormat="false" ht="13.8" hidden="false" customHeight="false" outlineLevel="0" collapsed="false">
      <c r="F226" s="5" t="e">
        <f aca="false">MATCH(G226,#REF!)</f>
        <v>#VALUE!</v>
      </c>
      <c r="G226" s="169" t="n">
        <f aca="false">IF(I225=0,Model_Start_Date,I225+1)</f>
        <v>45717</v>
      </c>
      <c r="H226" s="1"/>
      <c r="I226" s="169" t="n">
        <f aca="false">EOMONTH(G226,0)</f>
        <v>45747</v>
      </c>
      <c r="K226" s="15" t="s">
        <v>687</v>
      </c>
      <c r="L226" s="12"/>
      <c r="M226" s="170" t="n">
        <f aca="false">IF(AND(M$26&lt;=$G$224,$G226=Model_Start_Date),1,IF(AND(M$25&lt;=$G$224,M$26&lt;=$I$224,$G226=Model_Start_Date),1,IF(AND(M$25&lt;=$G$224,M$26&gt;=$G$224,$G226=Model_Start_Date),($I$224-M$25+1)/(M$26-M$25+1),IF(AND($G226&gt;=M$25,$I226&lt;=M$26),($I226-$G226+1)/(M$26-M$25+1),IF(AND($G226&lt;=M$25,$I226&gt;=M$26),1,IF(AND($G226&lt;=M$25,$I226&gt;=M$25),($I226-M$25+1)/(M$26-M$25+1),IF(AND($G226&lt;=M$26,$I226&gt;=M$26),(M$26-$G226+1)/(M$26-M$25+1),0)))))))</f>
        <v>0.0164383561643836</v>
      </c>
      <c r="N226" s="170" t="n">
        <f aca="false">IF(AND(N$26&lt;=$G$224,$G226=Model_Start_Date),1,IF(AND(N$25&lt;=$G$224,N$26&lt;=$I$224,$G226=Model_Start_Date),1,IF(AND(N$25&lt;=$G$224,N$26&gt;=$G$224,$G226=Model_Start_Date),($I$224-N$25+1)/(N$26-N$25+1),IF(AND($G226&gt;=N$25,$I226&lt;=N$26),($I226-$G226+1)/(N$26-N$25+1),IF(AND($G226&lt;=N$25,$I226&gt;=N$26),1,IF(AND($G226&lt;=N$25,$I226&gt;=N$25),($I226-N$25+1)/(N$26-N$25+1),IF(AND($G226&lt;=N$26,$I226&gt;=N$26),(N$26-$G226+1)/(N$26-N$25+1),0)))))))</f>
        <v>0</v>
      </c>
      <c r="O226" s="170" t="n">
        <f aca="false">IF(AND(O$26&lt;=$G$224,$G226=Model_Start_Date),1,IF(AND(O$25&lt;=$G$224,O$26&lt;=$I$224,$G226=Model_Start_Date),1,IF(AND(O$25&lt;=$G$224,O$26&gt;=$G$224,$G226=Model_Start_Date),($I$224-O$25+1)/(O$26-O$25+1),IF(AND($G226&gt;=O$25,$I226&lt;=O$26),($I226-$G226+1)/(O$26-O$25+1),IF(AND($G226&lt;=O$25,$I226&gt;=O$26),1,IF(AND($G226&lt;=O$25,$I226&gt;=O$25),($I226-O$25+1)/(O$26-O$25+1),IF(AND($G226&lt;=O$26,$I226&gt;=O$26),(O$26-$G226+1)/(O$26-O$25+1),0)))))))</f>
        <v>0</v>
      </c>
      <c r="P226" s="170" t="n">
        <f aca="false">IF(AND(P$26&lt;=$G$224,$G226=Model_Start_Date),1,IF(AND(P$25&lt;=$G$224,P$26&lt;=$I$224,$G226=Model_Start_Date),1,IF(AND(P$25&lt;=$G$224,P$26&gt;=$G$224,$G226=Model_Start_Date),($I$224-P$25+1)/(P$26-P$25+1),IF(AND($G226&gt;=P$25,$I226&lt;=P$26),($I226-$G226+1)/(P$26-P$25+1),IF(AND($G226&lt;=P$25,$I226&gt;=P$26),1,IF(AND($G226&lt;=P$25,$I226&gt;=P$25),($I226-P$25+1)/(P$26-P$25+1),IF(AND($G226&lt;=P$26,$I226&gt;=P$26),(P$26-$G226+1)/(P$26-P$25+1),0)))))))</f>
        <v>0</v>
      </c>
    </row>
    <row r="227" customFormat="false" ht="13.8" hidden="false" customHeight="false" outlineLevel="0" collapsed="false">
      <c r="F227" s="5" t="e">
        <f aca="false">MATCH(G227,#REF!)</f>
        <v>#VALUE!</v>
      </c>
      <c r="G227" s="169" t="n">
        <f aca="false">IF(I226=0,Model_Start_Date,I226+1)</f>
        <v>45748</v>
      </c>
      <c r="H227" s="1"/>
      <c r="I227" s="169" t="n">
        <f aca="false">EOMONTH(G227,0)</f>
        <v>45777</v>
      </c>
      <c r="K227" s="15" t="s">
        <v>687</v>
      </c>
      <c r="L227" s="12"/>
      <c r="M227" s="170" t="n">
        <f aca="false">IF(AND(M$26&lt;=$G$224,$G227=Model_Start_Date),1,IF(AND(M$25&lt;=$G$224,M$26&lt;=$I$224,$G227=Model_Start_Date),1,IF(AND(M$25&lt;=$G$224,M$26&gt;=$G$224,$G227=Model_Start_Date),($I$224-M$25+1)/(M$26-M$25+1),IF(AND($G227&gt;=M$25,$I227&lt;=M$26),($I227-$G227+1)/(M$26-M$25+1),IF(AND($G227&lt;=M$25,$I227&gt;=M$26),1,IF(AND($G227&lt;=M$25,$I227&gt;=M$25),($I227-M$25+1)/(M$26-M$25+1),IF(AND($G227&lt;=M$26,$I227&gt;=M$26),(M$26-$G227+1)/(M$26-M$25+1),0)))))))</f>
        <v>0.0821917808219178</v>
      </c>
      <c r="N227" s="170" t="n">
        <f aca="false">IF(AND(N$26&lt;=$G$224,$G227=Model_Start_Date),1,IF(AND(N$25&lt;=$G$224,N$26&lt;=$I$224,$G227=Model_Start_Date),1,IF(AND(N$25&lt;=$G$224,N$26&gt;=$G$224,$G227=Model_Start_Date),($I$224-N$25+1)/(N$26-N$25+1),IF(AND($G227&gt;=N$25,$I227&lt;=N$26),($I227-$G227+1)/(N$26-N$25+1),IF(AND($G227&lt;=N$25,$I227&gt;=N$26),1,IF(AND($G227&lt;=N$25,$I227&gt;=N$25),($I227-N$25+1)/(N$26-N$25+1),IF(AND($G227&lt;=N$26,$I227&gt;=N$26),(N$26-$G227+1)/(N$26-N$25+1),0)))))))</f>
        <v>0</v>
      </c>
      <c r="O227" s="170" t="n">
        <f aca="false">IF(AND(O$26&lt;=$G$224,$G227=Model_Start_Date),1,IF(AND(O$25&lt;=$G$224,O$26&lt;=$I$224,$G227=Model_Start_Date),1,IF(AND(O$25&lt;=$G$224,O$26&gt;=$G$224,$G227=Model_Start_Date),($I$224-O$25+1)/(O$26-O$25+1),IF(AND($G227&gt;=O$25,$I227&lt;=O$26),($I227-$G227+1)/(O$26-O$25+1),IF(AND($G227&lt;=O$25,$I227&gt;=O$26),1,IF(AND($G227&lt;=O$25,$I227&gt;=O$25),($I227-O$25+1)/(O$26-O$25+1),IF(AND($G227&lt;=O$26,$I227&gt;=O$26),(O$26-$G227+1)/(O$26-O$25+1),0)))))))</f>
        <v>0</v>
      </c>
      <c r="P227" s="170" t="n">
        <f aca="false">IF(AND(P$26&lt;=$G$224,$G227=Model_Start_Date),1,IF(AND(P$25&lt;=$G$224,P$26&lt;=$I$224,$G227=Model_Start_Date),1,IF(AND(P$25&lt;=$G$224,P$26&gt;=$G$224,$G227=Model_Start_Date),($I$224-P$25+1)/(P$26-P$25+1),IF(AND($G227&gt;=P$25,$I227&lt;=P$26),($I227-$G227+1)/(P$26-P$25+1),IF(AND($G227&lt;=P$25,$I227&gt;=P$26),1,IF(AND($G227&lt;=P$25,$I227&gt;=P$25),($I227-P$25+1)/(P$26-P$25+1),IF(AND($G227&lt;=P$26,$I227&gt;=P$26),(P$26-$G227+1)/(P$26-P$25+1),0)))))))</f>
        <v>0</v>
      </c>
    </row>
    <row r="228" customFormat="false" ht="13.8" hidden="false" customHeight="false" outlineLevel="0" collapsed="false">
      <c r="B228" s="1"/>
      <c r="D228" s="1"/>
      <c r="F228" s="5" t="e">
        <f aca="false">MATCH(G228,#REF!)</f>
        <v>#VALUE!</v>
      </c>
      <c r="G228" s="169" t="n">
        <f aca="false">IF(I227=0,Model_Start_Date,I227+1)</f>
        <v>45778</v>
      </c>
      <c r="H228" s="1"/>
      <c r="I228" s="169" t="n">
        <f aca="false">EOMONTH(G228,0)</f>
        <v>45808</v>
      </c>
      <c r="K228" s="15" t="s">
        <v>687</v>
      </c>
      <c r="L228" s="12"/>
      <c r="M228" s="170" t="n">
        <f aca="false">IF(AND(M$26&lt;=$G$224,$G228=Model_Start_Date),1,IF(AND(M$25&lt;=$G$224,M$26&lt;=$I$224,$G228=Model_Start_Date),1,IF(AND(M$25&lt;=$G$224,M$26&gt;=$G$224,$G228=Model_Start_Date),($I$224-M$25+1)/(M$26-M$25+1),IF(AND($G228&gt;=M$25,$I228&lt;=M$26),($I228-$G228+1)/(M$26-M$25+1),IF(AND($G228&lt;=M$25,$I228&gt;=M$26),1,IF(AND($G228&lt;=M$25,$I228&gt;=M$25),($I228-M$25+1)/(M$26-M$25+1),IF(AND($G228&lt;=M$26,$I228&gt;=M$26),(M$26-$G228+1)/(M$26-M$25+1),0)))))))</f>
        <v>0.0849315068493151</v>
      </c>
      <c r="N228" s="170" t="n">
        <f aca="false">IF(AND(N$26&lt;=$G$224,$G228=Model_Start_Date),1,IF(AND(N$25&lt;=$G$224,N$26&lt;=$I$224,$G228=Model_Start_Date),1,IF(AND(N$25&lt;=$G$224,N$26&gt;=$G$224,$G228=Model_Start_Date),($I$224-N$25+1)/(N$26-N$25+1),IF(AND($G228&gt;=N$25,$I228&lt;=N$26),($I228-$G228+1)/(N$26-N$25+1),IF(AND($G228&lt;=N$25,$I228&gt;=N$26),1,IF(AND($G228&lt;=N$25,$I228&gt;=N$25),($I228-N$25+1)/(N$26-N$25+1),IF(AND($G228&lt;=N$26,$I228&gt;=N$26),(N$26-$G228+1)/(N$26-N$25+1),0)))))))</f>
        <v>0.00273972602739726</v>
      </c>
      <c r="O228" s="170" t="n">
        <f aca="false">IF(AND(O$26&lt;=$G$224,$G228=Model_Start_Date),1,IF(AND(O$25&lt;=$G$224,O$26&lt;=$I$224,$G228=Model_Start_Date),1,IF(AND(O$25&lt;=$G$224,O$26&gt;=$G$224,$G228=Model_Start_Date),($I$224-O$25+1)/(O$26-O$25+1),IF(AND($G228&gt;=O$25,$I228&lt;=O$26),($I228-$G228+1)/(O$26-O$25+1),IF(AND($G228&lt;=O$25,$I228&gt;=O$26),1,IF(AND($G228&lt;=O$25,$I228&gt;=O$25),($I228-O$25+1)/(O$26-O$25+1),IF(AND($G228&lt;=O$26,$I228&gt;=O$26),(O$26-$G228+1)/(O$26-O$25+1),0)))))))</f>
        <v>0.00273972602739726</v>
      </c>
      <c r="P228" s="170" t="n">
        <f aca="false">IF(AND(P$26&lt;=$G$224,$G228=Model_Start_Date),1,IF(AND(P$25&lt;=$G$224,P$26&lt;=$I$224,$G228=Model_Start_Date),1,IF(AND(P$25&lt;=$G$224,P$26&gt;=$G$224,$G228=Model_Start_Date),($I$224-P$25+1)/(P$26-P$25+1),IF(AND($G228&gt;=P$25,$I228&lt;=P$26),($I228-$G228+1)/(P$26-P$25+1),IF(AND($G228&lt;=P$25,$I228&gt;=P$26),1,IF(AND($G228&lt;=P$25,$I228&gt;=P$25),($I228-P$25+1)/(P$26-P$25+1),IF(AND($G228&lt;=P$26,$I228&gt;=P$26),(P$26-$G228+1)/(P$26-P$25+1),0)))))))</f>
        <v>0.00273972602739726</v>
      </c>
    </row>
    <row r="229" customFormat="false" ht="13.8" hidden="false" customHeight="false" outlineLevel="0" collapsed="false">
      <c r="B229" s="1"/>
      <c r="D229" s="1"/>
      <c r="F229" s="5" t="e">
        <f aca="false">MATCH(G229,#REF!)</f>
        <v>#VALUE!</v>
      </c>
      <c r="G229" s="169" t="n">
        <f aca="false">IF(I228=0,Model_Start_Date,I228+1)</f>
        <v>45809</v>
      </c>
      <c r="H229" s="1"/>
      <c r="I229" s="169" t="n">
        <f aca="false">EOMONTH(G229,0)</f>
        <v>45838</v>
      </c>
      <c r="K229" s="15" t="s">
        <v>687</v>
      </c>
      <c r="L229" s="12"/>
      <c r="M229" s="170" t="n">
        <f aca="false">IF(AND(M$26&lt;=$G$224,$G229=Model_Start_Date),1,IF(AND(M$25&lt;=$G$224,M$26&lt;=$I$224,$G229=Model_Start_Date),1,IF(AND(M$25&lt;=$G$224,M$26&gt;=$G$224,$G229=Model_Start_Date),($I$224-M$25+1)/(M$26-M$25+1),IF(AND($G229&gt;=M$25,$I229&lt;=M$26),($I229-$G229+1)/(M$26-M$25+1),IF(AND($G229&lt;=M$25,$I229&gt;=M$26),1,IF(AND($G229&lt;=M$25,$I229&gt;=M$25),($I229-M$25+1)/(M$26-M$25+1),IF(AND($G229&lt;=M$26,$I229&gt;=M$26),(M$26-$G229+1)/(M$26-M$25+1),0)))))))</f>
        <v>0.0821917808219178</v>
      </c>
      <c r="N229" s="170" t="n">
        <f aca="false">IF(AND(N$26&lt;=$G$224,$G229=Model_Start_Date),1,IF(AND(N$25&lt;=$G$224,N$26&lt;=$I$224,$G229=Model_Start_Date),1,IF(AND(N$25&lt;=$G$224,N$26&gt;=$G$224,$G229=Model_Start_Date),($I$224-N$25+1)/(N$26-N$25+1),IF(AND($G229&gt;=N$25,$I229&lt;=N$26),($I229-$G229+1)/(N$26-N$25+1),IF(AND($G229&lt;=N$25,$I229&gt;=N$26),1,IF(AND($G229&lt;=N$25,$I229&gt;=N$25),($I229-N$25+1)/(N$26-N$25+1),IF(AND($G229&lt;=N$26,$I229&gt;=N$26),(N$26-$G229+1)/(N$26-N$25+1),0)))))))</f>
        <v>0.0821917808219178</v>
      </c>
      <c r="O229" s="170" t="n">
        <f aca="false">IF(AND(O$26&lt;=$G$224,$G229=Model_Start_Date),1,IF(AND(O$25&lt;=$G$224,O$26&lt;=$I$224,$G229=Model_Start_Date),1,IF(AND(O$25&lt;=$G$224,O$26&gt;=$G$224,$G229=Model_Start_Date),($I$224-O$25+1)/(O$26-O$25+1),IF(AND($G229&gt;=O$25,$I229&lt;=O$26),($I229-$G229+1)/(O$26-O$25+1),IF(AND($G229&lt;=O$25,$I229&gt;=O$26),1,IF(AND($G229&lt;=O$25,$I229&gt;=O$25),($I229-O$25+1)/(O$26-O$25+1),IF(AND($G229&lt;=O$26,$I229&gt;=O$26),(O$26-$G229+1)/(O$26-O$25+1),0)))))))</f>
        <v>0.0821917808219178</v>
      </c>
      <c r="P229" s="170" t="n">
        <f aca="false">IF(AND(P$26&lt;=$G$224,$G229=Model_Start_Date),1,IF(AND(P$25&lt;=$G$224,P$26&lt;=$I$224,$G229=Model_Start_Date),1,IF(AND(P$25&lt;=$G$224,P$26&gt;=$G$224,$G229=Model_Start_Date),($I$224-P$25+1)/(P$26-P$25+1),IF(AND($G229&gt;=P$25,$I229&lt;=P$26),($I229-$G229+1)/(P$26-P$25+1),IF(AND($G229&lt;=P$25,$I229&gt;=P$26),1,IF(AND($G229&lt;=P$25,$I229&gt;=P$25),($I229-P$25+1)/(P$26-P$25+1),IF(AND($G229&lt;=P$26,$I229&gt;=P$26),(P$26-$G229+1)/(P$26-P$25+1),0)))))))</f>
        <v>0.0821917808219178</v>
      </c>
    </row>
    <row r="230" customFormat="false" ht="13.8" hidden="false" customHeight="false" outlineLevel="0" collapsed="false">
      <c r="B230" s="1"/>
      <c r="D230" s="1"/>
      <c r="F230" s="5" t="e">
        <f aca="false">MATCH(G230,#REF!)</f>
        <v>#VALUE!</v>
      </c>
      <c r="G230" s="169" t="n">
        <f aca="false">IF(I229=0,Model_Start_Date,I229+1)</f>
        <v>45839</v>
      </c>
      <c r="H230" s="1"/>
      <c r="I230" s="169" t="n">
        <f aca="false">EOMONTH(G230,0)</f>
        <v>45869</v>
      </c>
      <c r="K230" s="15" t="s">
        <v>687</v>
      </c>
      <c r="L230" s="12"/>
      <c r="M230" s="170" t="n">
        <f aca="false">IF(AND(M$26&lt;=$G$224,$G230=Model_Start_Date),1,IF(AND(M$25&lt;=$G$224,M$26&lt;=$I$224,$G230=Model_Start_Date),1,IF(AND(M$25&lt;=$G$224,M$26&gt;=$G$224,$G230=Model_Start_Date),($I$224-M$25+1)/(M$26-M$25+1),IF(AND($G230&gt;=M$25,$I230&lt;=M$26),($I230-$G230+1)/(M$26-M$25+1),IF(AND($G230&lt;=M$25,$I230&gt;=M$26),1,IF(AND($G230&lt;=M$25,$I230&gt;=M$25),($I230-M$25+1)/(M$26-M$25+1),IF(AND($G230&lt;=M$26,$I230&gt;=M$26),(M$26-$G230+1)/(M$26-M$25+1),0)))))))</f>
        <v>0.0849315068493151</v>
      </c>
      <c r="N230" s="170" t="n">
        <f aca="false">IF(AND(N$26&lt;=$G$224,$G230=Model_Start_Date),1,IF(AND(N$25&lt;=$G$224,N$26&lt;=$I$224,$G230=Model_Start_Date),1,IF(AND(N$25&lt;=$G$224,N$26&gt;=$G$224,$G230=Model_Start_Date),($I$224-N$25+1)/(N$26-N$25+1),IF(AND($G230&gt;=N$25,$I230&lt;=N$26),($I230-$G230+1)/(N$26-N$25+1),IF(AND($G230&lt;=N$25,$I230&gt;=N$26),1,IF(AND($G230&lt;=N$25,$I230&gt;=N$25),($I230-N$25+1)/(N$26-N$25+1),IF(AND($G230&lt;=N$26,$I230&gt;=N$26),(N$26-$G230+1)/(N$26-N$25+1),0)))))))</f>
        <v>0.0849315068493151</v>
      </c>
      <c r="O230" s="170" t="n">
        <f aca="false">IF(AND(O$26&lt;=$G$224,$G230=Model_Start_Date),1,IF(AND(O$25&lt;=$G$224,O$26&lt;=$I$224,$G230=Model_Start_Date),1,IF(AND(O$25&lt;=$G$224,O$26&gt;=$G$224,$G230=Model_Start_Date),($I$224-O$25+1)/(O$26-O$25+1),IF(AND($G230&gt;=O$25,$I230&lt;=O$26),($I230-$G230+1)/(O$26-O$25+1),IF(AND($G230&lt;=O$25,$I230&gt;=O$26),1,IF(AND($G230&lt;=O$25,$I230&gt;=O$25),($I230-O$25+1)/(O$26-O$25+1),IF(AND($G230&lt;=O$26,$I230&gt;=O$26),(O$26-$G230+1)/(O$26-O$25+1),0)))))))</f>
        <v>0.0849315068493151</v>
      </c>
      <c r="P230" s="170" t="n">
        <f aca="false">IF(AND(P$26&lt;=$G$224,$G230=Model_Start_Date),1,IF(AND(P$25&lt;=$G$224,P$26&lt;=$I$224,$G230=Model_Start_Date),1,IF(AND(P$25&lt;=$G$224,P$26&gt;=$G$224,$G230=Model_Start_Date),($I$224-P$25+1)/(P$26-P$25+1),IF(AND($G230&gt;=P$25,$I230&lt;=P$26),($I230-$G230+1)/(P$26-P$25+1),IF(AND($G230&lt;=P$25,$I230&gt;=P$26),1,IF(AND($G230&lt;=P$25,$I230&gt;=P$25),($I230-P$25+1)/(P$26-P$25+1),IF(AND($G230&lt;=P$26,$I230&gt;=P$26),(P$26-$G230+1)/(P$26-P$25+1),0)))))))</f>
        <v>0.0849315068493151</v>
      </c>
    </row>
    <row r="231" customFormat="false" ht="13.8" hidden="false" customHeight="false" outlineLevel="0" collapsed="false">
      <c r="B231" s="1"/>
      <c r="D231" s="1"/>
      <c r="F231" s="5" t="e">
        <f aca="false">MATCH(G231,#REF!)</f>
        <v>#VALUE!</v>
      </c>
      <c r="G231" s="169" t="n">
        <f aca="false">IF(I230=0,Model_Start_Date,I230+1)</f>
        <v>45870</v>
      </c>
      <c r="H231" s="1"/>
      <c r="I231" s="169" t="n">
        <f aca="false">EOMONTH(G231,0)</f>
        <v>45900</v>
      </c>
      <c r="K231" s="15" t="s">
        <v>687</v>
      </c>
      <c r="L231" s="12"/>
      <c r="M231" s="170" t="n">
        <f aca="false">IF(AND(M$26&lt;=$G$224,$G231=Model_Start_Date),1,IF(AND(M$25&lt;=$G$224,M$26&lt;=$I$224,$G231=Model_Start_Date),1,IF(AND(M$25&lt;=$G$224,M$26&gt;=$G$224,$G231=Model_Start_Date),($I$224-M$25+1)/(M$26-M$25+1),IF(AND($G231&gt;=M$25,$I231&lt;=M$26),($I231-$G231+1)/(M$26-M$25+1),IF(AND($G231&lt;=M$25,$I231&gt;=M$26),1,IF(AND($G231&lt;=M$25,$I231&gt;=M$25),($I231-M$25+1)/(M$26-M$25+1),IF(AND($G231&lt;=M$26,$I231&gt;=M$26),(M$26-$G231+1)/(M$26-M$25+1),0)))))))</f>
        <v>0.0849315068493151</v>
      </c>
      <c r="N231" s="170" t="n">
        <f aca="false">IF(AND(N$26&lt;=$G$224,$G231=Model_Start_Date),1,IF(AND(N$25&lt;=$G$224,N$26&lt;=$I$224,$G231=Model_Start_Date),1,IF(AND(N$25&lt;=$G$224,N$26&gt;=$G$224,$G231=Model_Start_Date),($I$224-N$25+1)/(N$26-N$25+1),IF(AND($G231&gt;=N$25,$I231&lt;=N$26),($I231-$G231+1)/(N$26-N$25+1),IF(AND($G231&lt;=N$25,$I231&gt;=N$26),1,IF(AND($G231&lt;=N$25,$I231&gt;=N$25),($I231-N$25+1)/(N$26-N$25+1),IF(AND($G231&lt;=N$26,$I231&gt;=N$26),(N$26-$G231+1)/(N$26-N$25+1),0)))))))</f>
        <v>0.0849315068493151</v>
      </c>
      <c r="O231" s="170" t="n">
        <f aca="false">IF(AND(O$26&lt;=$G$224,$G231=Model_Start_Date),1,IF(AND(O$25&lt;=$G$224,O$26&lt;=$I$224,$G231=Model_Start_Date),1,IF(AND(O$25&lt;=$G$224,O$26&gt;=$G$224,$G231=Model_Start_Date),($I$224-O$25+1)/(O$26-O$25+1),IF(AND($G231&gt;=O$25,$I231&lt;=O$26),($I231-$G231+1)/(O$26-O$25+1),IF(AND($G231&lt;=O$25,$I231&gt;=O$26),1,IF(AND($G231&lt;=O$25,$I231&gt;=O$25),($I231-O$25+1)/(O$26-O$25+1),IF(AND($G231&lt;=O$26,$I231&gt;=O$26),(O$26-$G231+1)/(O$26-O$25+1),0)))))))</f>
        <v>0.0849315068493151</v>
      </c>
      <c r="P231" s="170" t="n">
        <f aca="false">IF(AND(P$26&lt;=$G$224,$G231=Model_Start_Date),1,IF(AND(P$25&lt;=$G$224,P$26&lt;=$I$224,$G231=Model_Start_Date),1,IF(AND(P$25&lt;=$G$224,P$26&gt;=$G$224,$G231=Model_Start_Date),($I$224-P$25+1)/(P$26-P$25+1),IF(AND($G231&gt;=P$25,$I231&lt;=P$26),($I231-$G231+1)/(P$26-P$25+1),IF(AND($G231&lt;=P$25,$I231&gt;=P$26),1,IF(AND($G231&lt;=P$25,$I231&gt;=P$25),($I231-P$25+1)/(P$26-P$25+1),IF(AND($G231&lt;=P$26,$I231&gt;=P$26),(P$26-$G231+1)/(P$26-P$25+1),0)))))))</f>
        <v>0.0849315068493151</v>
      </c>
    </row>
    <row r="232" customFormat="false" ht="13.8" hidden="false" customHeight="false" outlineLevel="0" collapsed="false">
      <c r="B232" s="1"/>
      <c r="D232" s="1"/>
      <c r="F232" s="5" t="e">
        <f aca="false">MATCH(G232,#REF!)</f>
        <v>#VALUE!</v>
      </c>
      <c r="G232" s="169" t="n">
        <f aca="false">IF(I231=0,Model_Start_Date,I231+1)</f>
        <v>45901</v>
      </c>
      <c r="H232" s="1"/>
      <c r="I232" s="169" t="n">
        <f aca="false">EOMONTH(G232,0)</f>
        <v>45930</v>
      </c>
      <c r="K232" s="15" t="s">
        <v>687</v>
      </c>
      <c r="L232" s="12"/>
      <c r="M232" s="170" t="n">
        <f aca="false">IF(AND(M$26&lt;=$G$224,$G232=Model_Start_Date),1,IF(AND(M$25&lt;=$G$224,M$26&lt;=$I$224,$G232=Model_Start_Date),1,IF(AND(M$25&lt;=$G$224,M$26&gt;=$G$224,$G232=Model_Start_Date),($I$224-M$25+1)/(M$26-M$25+1),IF(AND($G232&gt;=M$25,$I232&lt;=M$26),($I232-$G232+1)/(M$26-M$25+1),IF(AND($G232&lt;=M$25,$I232&gt;=M$26),1,IF(AND($G232&lt;=M$25,$I232&gt;=M$25),($I232-M$25+1)/(M$26-M$25+1),IF(AND($G232&lt;=M$26,$I232&gt;=M$26),(M$26-$G232+1)/(M$26-M$25+1),0)))))))</f>
        <v>0.0821917808219178</v>
      </c>
      <c r="N232" s="170" t="n">
        <f aca="false">IF(AND(N$26&lt;=$G$224,$G232=Model_Start_Date),1,IF(AND(N$25&lt;=$G$224,N$26&lt;=$I$224,$G232=Model_Start_Date),1,IF(AND(N$25&lt;=$G$224,N$26&gt;=$G$224,$G232=Model_Start_Date),($I$224-N$25+1)/(N$26-N$25+1),IF(AND($G232&gt;=N$25,$I232&lt;=N$26),($I232-$G232+1)/(N$26-N$25+1),IF(AND($G232&lt;=N$25,$I232&gt;=N$26),1,IF(AND($G232&lt;=N$25,$I232&gt;=N$25),($I232-N$25+1)/(N$26-N$25+1),IF(AND($G232&lt;=N$26,$I232&gt;=N$26),(N$26-$G232+1)/(N$26-N$25+1),0)))))))</f>
        <v>0.0821917808219178</v>
      </c>
      <c r="O232" s="170" t="n">
        <f aca="false">IF(AND(O$26&lt;=$G$224,$G232=Model_Start_Date),1,IF(AND(O$25&lt;=$G$224,O$26&lt;=$I$224,$G232=Model_Start_Date),1,IF(AND(O$25&lt;=$G$224,O$26&gt;=$G$224,$G232=Model_Start_Date),($I$224-O$25+1)/(O$26-O$25+1),IF(AND($G232&gt;=O$25,$I232&lt;=O$26),($I232-$G232+1)/(O$26-O$25+1),IF(AND($G232&lt;=O$25,$I232&gt;=O$26),1,IF(AND($G232&lt;=O$25,$I232&gt;=O$25),($I232-O$25+1)/(O$26-O$25+1),IF(AND($G232&lt;=O$26,$I232&gt;=O$26),(O$26-$G232+1)/(O$26-O$25+1),0)))))))</f>
        <v>0.0821917808219178</v>
      </c>
      <c r="P232" s="170" t="n">
        <f aca="false">IF(AND(P$26&lt;=$G$224,$G232=Model_Start_Date),1,IF(AND(P$25&lt;=$G$224,P$26&lt;=$I$224,$G232=Model_Start_Date),1,IF(AND(P$25&lt;=$G$224,P$26&gt;=$G$224,$G232=Model_Start_Date),($I$224-P$25+1)/(P$26-P$25+1),IF(AND($G232&gt;=P$25,$I232&lt;=P$26),($I232-$G232+1)/(P$26-P$25+1),IF(AND($G232&lt;=P$25,$I232&gt;=P$26),1,IF(AND($G232&lt;=P$25,$I232&gt;=P$25),($I232-P$25+1)/(P$26-P$25+1),IF(AND($G232&lt;=P$26,$I232&gt;=P$26),(P$26-$G232+1)/(P$26-P$25+1),0)))))))</f>
        <v>0.0821917808219178</v>
      </c>
    </row>
    <row r="233" customFormat="false" ht="13.8" hidden="false" customHeight="false" outlineLevel="0" collapsed="false">
      <c r="B233" s="1"/>
      <c r="D233" s="1"/>
      <c r="F233" s="5" t="e">
        <f aca="false">MATCH(G233,#REF!)</f>
        <v>#VALUE!</v>
      </c>
      <c r="G233" s="169" t="n">
        <f aca="false">IF(I232=0,Model_Start_Date,I232+1)</f>
        <v>45931</v>
      </c>
      <c r="H233" s="1"/>
      <c r="I233" s="169" t="n">
        <f aca="false">EOMONTH(G233,0)</f>
        <v>45961</v>
      </c>
      <c r="K233" s="15" t="s">
        <v>687</v>
      </c>
      <c r="L233" s="12"/>
      <c r="M233" s="170" t="n">
        <f aca="false">IF(AND(M$26&lt;=$G$224,$G233=Model_Start_Date),1,IF(AND(M$25&lt;=$G$224,M$26&lt;=$I$224,$G233=Model_Start_Date),1,IF(AND(M$25&lt;=$G$224,M$26&gt;=$G$224,$G233=Model_Start_Date),($I$224-M$25+1)/(M$26-M$25+1),IF(AND($G233&gt;=M$25,$I233&lt;=M$26),($I233-$G233+1)/(M$26-M$25+1),IF(AND($G233&lt;=M$25,$I233&gt;=M$26),1,IF(AND($G233&lt;=M$25,$I233&gt;=M$25),($I233-M$25+1)/(M$26-M$25+1),IF(AND($G233&lt;=M$26,$I233&gt;=M$26),(M$26-$G233+1)/(M$26-M$25+1),0)))))))</f>
        <v>0.0849315068493151</v>
      </c>
      <c r="N233" s="170" t="n">
        <f aca="false">IF(AND(N$26&lt;=$G$224,$G233=Model_Start_Date),1,IF(AND(N$25&lt;=$G$224,N$26&lt;=$I$224,$G233=Model_Start_Date),1,IF(AND(N$25&lt;=$G$224,N$26&gt;=$G$224,$G233=Model_Start_Date),($I$224-N$25+1)/(N$26-N$25+1),IF(AND($G233&gt;=N$25,$I233&lt;=N$26),($I233-$G233+1)/(N$26-N$25+1),IF(AND($G233&lt;=N$25,$I233&gt;=N$26),1,IF(AND($G233&lt;=N$25,$I233&gt;=N$25),($I233-N$25+1)/(N$26-N$25+1),IF(AND($G233&lt;=N$26,$I233&gt;=N$26),(N$26-$G233+1)/(N$26-N$25+1),0)))))))</f>
        <v>0.0849315068493151</v>
      </c>
      <c r="O233" s="170" t="n">
        <f aca="false">IF(AND(O$26&lt;=$G$224,$G233=Model_Start_Date),1,IF(AND(O$25&lt;=$G$224,O$26&lt;=$I$224,$G233=Model_Start_Date),1,IF(AND(O$25&lt;=$G$224,O$26&gt;=$G$224,$G233=Model_Start_Date),($I$224-O$25+1)/(O$26-O$25+1),IF(AND($G233&gt;=O$25,$I233&lt;=O$26),($I233-$G233+1)/(O$26-O$25+1),IF(AND($G233&lt;=O$25,$I233&gt;=O$26),1,IF(AND($G233&lt;=O$25,$I233&gt;=O$25),($I233-O$25+1)/(O$26-O$25+1),IF(AND($G233&lt;=O$26,$I233&gt;=O$26),(O$26-$G233+1)/(O$26-O$25+1),0)))))))</f>
        <v>0.0849315068493151</v>
      </c>
      <c r="P233" s="170" t="n">
        <f aca="false">IF(AND(P$26&lt;=$G$224,$G233=Model_Start_Date),1,IF(AND(P$25&lt;=$G$224,P$26&lt;=$I$224,$G233=Model_Start_Date),1,IF(AND(P$25&lt;=$G$224,P$26&gt;=$G$224,$G233=Model_Start_Date),($I$224-P$25+1)/(P$26-P$25+1),IF(AND($G233&gt;=P$25,$I233&lt;=P$26),($I233-$G233+1)/(P$26-P$25+1),IF(AND($G233&lt;=P$25,$I233&gt;=P$26),1,IF(AND($G233&lt;=P$25,$I233&gt;=P$25),($I233-P$25+1)/(P$26-P$25+1),IF(AND($G233&lt;=P$26,$I233&gt;=P$26),(P$26-$G233+1)/(P$26-P$25+1),0)))))))</f>
        <v>0.0849315068493151</v>
      </c>
    </row>
    <row r="234" customFormat="false" ht="13.8" hidden="false" customHeight="false" outlineLevel="0" collapsed="false">
      <c r="B234" s="1"/>
      <c r="D234" s="1"/>
      <c r="F234" s="5" t="e">
        <f aca="false">MATCH(G234,#REF!)</f>
        <v>#VALUE!</v>
      </c>
      <c r="G234" s="169" t="n">
        <f aca="false">IF(I233=0,Model_Start_Date,I233+1)</f>
        <v>45962</v>
      </c>
      <c r="H234" s="1"/>
      <c r="I234" s="169" t="n">
        <f aca="false">EOMONTH(G234,0)</f>
        <v>45991</v>
      </c>
      <c r="K234" s="15" t="s">
        <v>687</v>
      </c>
      <c r="L234" s="12"/>
      <c r="M234" s="170" t="n">
        <f aca="false">IF(AND(M$26&lt;=$G$224,$G234=Model_Start_Date),1,IF(AND(M$25&lt;=$G$224,M$26&lt;=$I$224,$G234=Model_Start_Date),1,IF(AND(M$25&lt;=$G$224,M$26&gt;=$G$224,$G234=Model_Start_Date),($I$224-M$25+1)/(M$26-M$25+1),IF(AND($G234&gt;=M$25,$I234&lt;=M$26),($I234-$G234+1)/(M$26-M$25+1),IF(AND($G234&lt;=M$25,$I234&gt;=M$26),1,IF(AND($G234&lt;=M$25,$I234&gt;=M$25),($I234-M$25+1)/(M$26-M$25+1),IF(AND($G234&lt;=M$26,$I234&gt;=M$26),(M$26-$G234+1)/(M$26-M$25+1),0)))))))</f>
        <v>0.0821917808219178</v>
      </c>
      <c r="N234" s="170" t="n">
        <f aca="false">IF(AND(N$26&lt;=$G$224,$G234=Model_Start_Date),1,IF(AND(N$25&lt;=$G$224,N$26&lt;=$I$224,$G234=Model_Start_Date),1,IF(AND(N$25&lt;=$G$224,N$26&gt;=$G$224,$G234=Model_Start_Date),($I$224-N$25+1)/(N$26-N$25+1),IF(AND($G234&gt;=N$25,$I234&lt;=N$26),($I234-$G234+1)/(N$26-N$25+1),IF(AND($G234&lt;=N$25,$I234&gt;=N$26),1,IF(AND($G234&lt;=N$25,$I234&gt;=N$25),($I234-N$25+1)/(N$26-N$25+1),IF(AND($G234&lt;=N$26,$I234&gt;=N$26),(N$26-$G234+1)/(N$26-N$25+1),0)))))))</f>
        <v>0.0821917808219178</v>
      </c>
      <c r="O234" s="170" t="n">
        <f aca="false">IF(AND(O$26&lt;=$G$224,$G234=Model_Start_Date),1,IF(AND(O$25&lt;=$G$224,O$26&lt;=$I$224,$G234=Model_Start_Date),1,IF(AND(O$25&lt;=$G$224,O$26&gt;=$G$224,$G234=Model_Start_Date),($I$224-O$25+1)/(O$26-O$25+1),IF(AND($G234&gt;=O$25,$I234&lt;=O$26),($I234-$G234+1)/(O$26-O$25+1),IF(AND($G234&lt;=O$25,$I234&gt;=O$26),1,IF(AND($G234&lt;=O$25,$I234&gt;=O$25),($I234-O$25+1)/(O$26-O$25+1),IF(AND($G234&lt;=O$26,$I234&gt;=O$26),(O$26-$G234+1)/(O$26-O$25+1),0)))))))</f>
        <v>0.0821917808219178</v>
      </c>
      <c r="P234" s="170" t="n">
        <f aca="false">IF(AND(P$26&lt;=$G$224,$G234=Model_Start_Date),1,IF(AND(P$25&lt;=$G$224,P$26&lt;=$I$224,$G234=Model_Start_Date),1,IF(AND(P$25&lt;=$G$224,P$26&gt;=$G$224,$G234=Model_Start_Date),($I$224-P$25+1)/(P$26-P$25+1),IF(AND($G234&gt;=P$25,$I234&lt;=P$26),($I234-$G234+1)/(P$26-P$25+1),IF(AND($G234&lt;=P$25,$I234&gt;=P$26),1,IF(AND($G234&lt;=P$25,$I234&gt;=P$25),($I234-P$25+1)/(P$26-P$25+1),IF(AND($G234&lt;=P$26,$I234&gt;=P$26),(P$26-$G234+1)/(P$26-P$25+1),0)))))))</f>
        <v>0.0821917808219178</v>
      </c>
    </row>
    <row r="235" customFormat="false" ht="13.8" hidden="false" customHeight="false" outlineLevel="0" collapsed="false">
      <c r="B235" s="1"/>
      <c r="D235" s="1"/>
      <c r="F235" s="5" t="e">
        <f aca="false">MATCH(G235,#REF!)</f>
        <v>#VALUE!</v>
      </c>
      <c r="G235" s="169" t="n">
        <f aca="false">IF(I234=0,Model_Start_Date,I234+1)</f>
        <v>45992</v>
      </c>
      <c r="H235" s="1"/>
      <c r="I235" s="169" t="n">
        <f aca="false">EOMONTH(G235,0)</f>
        <v>46022</v>
      </c>
      <c r="K235" s="15" t="s">
        <v>687</v>
      </c>
      <c r="L235" s="12"/>
      <c r="M235" s="170" t="n">
        <f aca="false">IF(AND(M$26&lt;=$G$224,$G235=Model_Start_Date),1,IF(AND(M$25&lt;=$G$224,M$26&lt;=$I$224,$G235=Model_Start_Date),1,IF(AND(M$25&lt;=$G$224,M$26&gt;=$G$224,$G235=Model_Start_Date),($I$224-M$25+1)/(M$26-M$25+1),IF(AND($G235&gt;=M$25,$I235&lt;=M$26),($I235-$G235+1)/(M$26-M$25+1),IF(AND($G235&lt;=M$25,$I235&gt;=M$26),1,IF(AND($G235&lt;=M$25,$I235&gt;=M$25),($I235-M$25+1)/(M$26-M$25+1),IF(AND($G235&lt;=M$26,$I235&gt;=M$26),(M$26-$G235+1)/(M$26-M$25+1),0)))))))</f>
        <v>0.0849315068493151</v>
      </c>
      <c r="N235" s="170" t="n">
        <f aca="false">IF(AND(N$26&lt;=$G$224,$G235=Model_Start_Date),1,IF(AND(N$25&lt;=$G$224,N$26&lt;=$I$224,$G235=Model_Start_Date),1,IF(AND(N$25&lt;=$G$224,N$26&gt;=$G$224,$G235=Model_Start_Date),($I$224-N$25+1)/(N$26-N$25+1),IF(AND($G235&gt;=N$25,$I235&lt;=N$26),($I235-$G235+1)/(N$26-N$25+1),IF(AND($G235&lt;=N$25,$I235&gt;=N$26),1,IF(AND($G235&lt;=N$25,$I235&gt;=N$25),($I235-N$25+1)/(N$26-N$25+1),IF(AND($G235&lt;=N$26,$I235&gt;=N$26),(N$26-$G235+1)/(N$26-N$25+1),0)))))))</f>
        <v>0.0849315068493151</v>
      </c>
      <c r="O235" s="170" t="n">
        <f aca="false">IF(AND(O$26&lt;=$G$224,$G235=Model_Start_Date),1,IF(AND(O$25&lt;=$G$224,O$26&lt;=$I$224,$G235=Model_Start_Date),1,IF(AND(O$25&lt;=$G$224,O$26&gt;=$G$224,$G235=Model_Start_Date),($I$224-O$25+1)/(O$26-O$25+1),IF(AND($G235&gt;=O$25,$I235&lt;=O$26),($I235-$G235+1)/(O$26-O$25+1),IF(AND($G235&lt;=O$25,$I235&gt;=O$26),1,IF(AND($G235&lt;=O$25,$I235&gt;=O$25),($I235-O$25+1)/(O$26-O$25+1),IF(AND($G235&lt;=O$26,$I235&gt;=O$26),(O$26-$G235+1)/(O$26-O$25+1),0)))))))</f>
        <v>0.0849315068493151</v>
      </c>
      <c r="P235" s="170" t="n">
        <f aca="false">IF(AND(P$26&lt;=$G$224,$G235=Model_Start_Date),1,IF(AND(P$25&lt;=$G$224,P$26&lt;=$I$224,$G235=Model_Start_Date),1,IF(AND(P$25&lt;=$G$224,P$26&gt;=$G$224,$G235=Model_Start_Date),($I$224-P$25+1)/(P$26-P$25+1),IF(AND($G235&gt;=P$25,$I235&lt;=P$26),($I235-$G235+1)/(P$26-P$25+1),IF(AND($G235&lt;=P$25,$I235&gt;=P$26),1,IF(AND($G235&lt;=P$25,$I235&gt;=P$25),($I235-P$25+1)/(P$26-P$25+1),IF(AND($G235&lt;=P$26,$I235&gt;=P$26),(P$26-$G235+1)/(P$26-P$25+1),0)))))))</f>
        <v>0.0849315068493151</v>
      </c>
    </row>
    <row r="236" customFormat="false" ht="13.8" hidden="false" customHeight="false" outlineLevel="0" collapsed="false">
      <c r="B236" s="1"/>
      <c r="D236" s="1"/>
      <c r="F236" s="5" t="e">
        <f aca="false">MATCH(G236,#REF!)</f>
        <v>#VALUE!</v>
      </c>
      <c r="G236" s="169" t="n">
        <f aca="false">IF(I235=0,Model_Start_Date,I235+1)</f>
        <v>46023</v>
      </c>
      <c r="H236" s="1"/>
      <c r="I236" s="169" t="n">
        <f aca="false">EOMONTH(G236,0)</f>
        <v>46053</v>
      </c>
      <c r="K236" s="15" t="s">
        <v>687</v>
      </c>
      <c r="L236" s="12"/>
      <c r="M236" s="170" t="n">
        <f aca="false">IF(AND(M$26&lt;=$G$224,$G236=Model_Start_Date),1,IF(AND(M$25&lt;=$G$224,M$26&lt;=$I$224,$G236=Model_Start_Date),1,IF(AND(M$25&lt;=$G$224,M$26&gt;=$G$224,$G236=Model_Start_Date),($I$224-M$25+1)/(M$26-M$25+1),IF(AND($G236&gt;=M$25,$I236&lt;=M$26),($I236-$G236+1)/(M$26-M$25+1),IF(AND($G236&lt;=M$25,$I236&gt;=M$26),1,IF(AND($G236&lt;=M$25,$I236&gt;=M$25),($I236-M$25+1)/(M$26-M$25+1),IF(AND($G236&lt;=M$26,$I236&gt;=M$26),(M$26-$G236+1)/(M$26-M$25+1),0)))))))</f>
        <v>0.0849315068493151</v>
      </c>
      <c r="N236" s="170" t="n">
        <f aca="false">IF(AND(N$26&lt;=$G$224,$G236=Model_Start_Date),1,IF(AND(N$25&lt;=$G$224,N$26&lt;=$I$224,$G236=Model_Start_Date),1,IF(AND(N$25&lt;=$G$224,N$26&gt;=$G$224,$G236=Model_Start_Date),($I$224-N$25+1)/(N$26-N$25+1),IF(AND($G236&gt;=N$25,$I236&lt;=N$26),($I236-$G236+1)/(N$26-N$25+1),IF(AND($G236&lt;=N$25,$I236&gt;=N$26),1,IF(AND($G236&lt;=N$25,$I236&gt;=N$25),($I236-N$25+1)/(N$26-N$25+1),IF(AND($G236&lt;=N$26,$I236&gt;=N$26),(N$26-$G236+1)/(N$26-N$25+1),0)))))))</f>
        <v>0.0849315068493151</v>
      </c>
      <c r="O236" s="170" t="n">
        <f aca="false">IF(AND(O$26&lt;=$G$224,$G236=Model_Start_Date),1,IF(AND(O$25&lt;=$G$224,O$26&lt;=$I$224,$G236=Model_Start_Date),1,IF(AND(O$25&lt;=$G$224,O$26&gt;=$G$224,$G236=Model_Start_Date),($I$224-O$25+1)/(O$26-O$25+1),IF(AND($G236&gt;=O$25,$I236&lt;=O$26),($I236-$G236+1)/(O$26-O$25+1),IF(AND($G236&lt;=O$25,$I236&gt;=O$26),1,IF(AND($G236&lt;=O$25,$I236&gt;=O$25),($I236-O$25+1)/(O$26-O$25+1),IF(AND($G236&lt;=O$26,$I236&gt;=O$26),(O$26-$G236+1)/(O$26-O$25+1),0)))))))</f>
        <v>0.0849315068493151</v>
      </c>
      <c r="P236" s="170" t="n">
        <f aca="false">IF(AND(P$26&lt;=$G$224,$G236=Model_Start_Date),1,IF(AND(P$25&lt;=$G$224,P$26&lt;=$I$224,$G236=Model_Start_Date),1,IF(AND(P$25&lt;=$G$224,P$26&gt;=$G$224,$G236=Model_Start_Date),($I$224-P$25+1)/(P$26-P$25+1),IF(AND($G236&gt;=P$25,$I236&lt;=P$26),($I236-$G236+1)/(P$26-P$25+1),IF(AND($G236&lt;=P$25,$I236&gt;=P$26),1,IF(AND($G236&lt;=P$25,$I236&gt;=P$25),($I236-P$25+1)/(P$26-P$25+1),IF(AND($G236&lt;=P$26,$I236&gt;=P$26),(P$26-$G236+1)/(P$26-P$25+1),0)))))))</f>
        <v>0.0849315068493151</v>
      </c>
    </row>
    <row r="237" customFormat="false" ht="13.8" hidden="false" customHeight="false" outlineLevel="0" collapsed="false">
      <c r="B237" s="1"/>
      <c r="D237" s="1"/>
      <c r="F237" s="5" t="e">
        <f aca="false">MATCH(G237,#REF!)</f>
        <v>#VALUE!</v>
      </c>
      <c r="G237" s="169" t="n">
        <f aca="false">IF(I236=0,Model_Start_Date,I236+1)</f>
        <v>46054</v>
      </c>
      <c r="H237" s="1"/>
      <c r="I237" s="169" t="n">
        <f aca="false">EOMONTH(G237,0)</f>
        <v>46081</v>
      </c>
      <c r="K237" s="15" t="s">
        <v>687</v>
      </c>
      <c r="L237" s="12"/>
      <c r="M237" s="170" t="n">
        <f aca="false">IF(AND(M$26&lt;=$G$224,$G237=Model_Start_Date),1,IF(AND(M$25&lt;=$G$224,M$26&lt;=$I$224,$G237=Model_Start_Date),1,IF(AND(M$25&lt;=$G$224,M$26&gt;=$G$224,$G237=Model_Start_Date),($I$224-M$25+1)/(M$26-M$25+1),IF(AND($G237&gt;=M$25,$I237&lt;=M$26),($I237-$G237+1)/(M$26-M$25+1),IF(AND($G237&lt;=M$25,$I237&gt;=M$26),1,IF(AND($G237&lt;=M$25,$I237&gt;=M$25),($I237-M$25+1)/(M$26-M$25+1),IF(AND($G237&lt;=M$26,$I237&gt;=M$26),(M$26-$G237+1)/(M$26-M$25+1),0)))))))</f>
        <v>0.0767123287671233</v>
      </c>
      <c r="N237" s="170" t="n">
        <f aca="false">IF(AND(N$26&lt;=$G$224,$G237=Model_Start_Date),1,IF(AND(N$25&lt;=$G$224,N$26&lt;=$I$224,$G237=Model_Start_Date),1,IF(AND(N$25&lt;=$G$224,N$26&gt;=$G$224,$G237=Model_Start_Date),($I$224-N$25+1)/(N$26-N$25+1),IF(AND($G237&gt;=N$25,$I237&lt;=N$26),($I237-$G237+1)/(N$26-N$25+1),IF(AND($G237&lt;=N$25,$I237&gt;=N$26),1,IF(AND($G237&lt;=N$25,$I237&gt;=N$25),($I237-N$25+1)/(N$26-N$25+1),IF(AND($G237&lt;=N$26,$I237&gt;=N$26),(N$26-$G237+1)/(N$26-N$25+1),0)))))))</f>
        <v>0.0767123287671233</v>
      </c>
      <c r="O237" s="170" t="n">
        <f aca="false">IF(AND(O$26&lt;=$G$224,$G237=Model_Start_Date),1,IF(AND(O$25&lt;=$G$224,O$26&lt;=$I$224,$G237=Model_Start_Date),1,IF(AND(O$25&lt;=$G$224,O$26&gt;=$G$224,$G237=Model_Start_Date),($I$224-O$25+1)/(O$26-O$25+1),IF(AND($G237&gt;=O$25,$I237&lt;=O$26),($I237-$G237+1)/(O$26-O$25+1),IF(AND($G237&lt;=O$25,$I237&gt;=O$26),1,IF(AND($G237&lt;=O$25,$I237&gt;=O$25),($I237-O$25+1)/(O$26-O$25+1),IF(AND($G237&lt;=O$26,$I237&gt;=O$26),(O$26-$G237+1)/(O$26-O$25+1),0)))))))</f>
        <v>0.0767123287671233</v>
      </c>
      <c r="P237" s="170" t="n">
        <f aca="false">IF(AND(P$26&lt;=$G$224,$G237=Model_Start_Date),1,IF(AND(P$25&lt;=$G$224,P$26&lt;=$I$224,$G237=Model_Start_Date),1,IF(AND(P$25&lt;=$G$224,P$26&gt;=$G$224,$G237=Model_Start_Date),($I$224-P$25+1)/(P$26-P$25+1),IF(AND($G237&gt;=P$25,$I237&lt;=P$26),($I237-$G237+1)/(P$26-P$25+1),IF(AND($G237&lt;=P$25,$I237&gt;=P$26),1,IF(AND($G237&lt;=P$25,$I237&gt;=P$25),($I237-P$25+1)/(P$26-P$25+1),IF(AND($G237&lt;=P$26,$I237&gt;=P$26),(P$26-$G237+1)/(P$26-P$25+1),0)))))))</f>
        <v>0.0767123287671233</v>
      </c>
    </row>
    <row r="238" customFormat="false" ht="13.8" hidden="false" customHeight="false" outlineLevel="0" collapsed="false">
      <c r="B238" s="1"/>
      <c r="D238" s="1"/>
      <c r="F238" s="5" t="e">
        <f aca="false">MATCH(G238,#REF!)</f>
        <v>#VALUE!</v>
      </c>
      <c r="G238" s="169" t="n">
        <f aca="false">IF(I237=0,Model_Start_Date,I237+1)</f>
        <v>46082</v>
      </c>
      <c r="H238" s="1"/>
      <c r="I238" s="169" t="n">
        <f aca="false">EOMONTH(G238,0)</f>
        <v>46112</v>
      </c>
      <c r="K238" s="15" t="s">
        <v>687</v>
      </c>
      <c r="L238" s="12"/>
      <c r="M238" s="170" t="n">
        <f aca="false">IF(AND(M$26&lt;=$G$224,$G238=Model_Start_Date),1,IF(AND(M$25&lt;=$G$224,M$26&lt;=$I$224,$G238=Model_Start_Date),1,IF(AND(M$25&lt;=$G$224,M$26&gt;=$G$224,$G238=Model_Start_Date),($I$224-M$25+1)/(M$26-M$25+1),IF(AND($G238&gt;=M$25,$I238&lt;=M$26),($I238-$G238+1)/(M$26-M$25+1),IF(AND($G238&lt;=M$25,$I238&gt;=M$26),1,IF(AND($G238&lt;=M$25,$I238&gt;=M$25),($I238-M$25+1)/(M$26-M$25+1),IF(AND($G238&lt;=M$26,$I238&gt;=M$26),(M$26-$G238+1)/(M$26-M$25+1),0)))))))</f>
        <v>0.0684931506849315</v>
      </c>
      <c r="N238" s="170" t="n">
        <f aca="false">IF(AND(N$26&lt;=$G$224,$G238=Model_Start_Date),1,IF(AND(N$25&lt;=$G$224,N$26&lt;=$I$224,$G238=Model_Start_Date),1,IF(AND(N$25&lt;=$G$224,N$26&gt;=$G$224,$G238=Model_Start_Date),($I$224-N$25+1)/(N$26-N$25+1),IF(AND($G238&gt;=N$25,$I238&lt;=N$26),($I238-$G238+1)/(N$26-N$25+1),IF(AND($G238&lt;=N$25,$I238&gt;=N$26),1,IF(AND($G238&lt;=N$25,$I238&gt;=N$25),($I238-N$25+1)/(N$26-N$25+1),IF(AND($G238&lt;=N$26,$I238&gt;=N$26),(N$26-$G238+1)/(N$26-N$25+1),0)))))))</f>
        <v>0.0849315068493151</v>
      </c>
      <c r="O238" s="170" t="n">
        <f aca="false">IF(AND(O$26&lt;=$G$224,$G238=Model_Start_Date),1,IF(AND(O$25&lt;=$G$224,O$26&lt;=$I$224,$G238=Model_Start_Date),1,IF(AND(O$25&lt;=$G$224,O$26&gt;=$G$224,$G238=Model_Start_Date),($I$224-O$25+1)/(O$26-O$25+1),IF(AND($G238&gt;=O$25,$I238&lt;=O$26),($I238-$G238+1)/(O$26-O$25+1),IF(AND($G238&lt;=O$25,$I238&gt;=O$26),1,IF(AND($G238&lt;=O$25,$I238&gt;=O$25),($I238-O$25+1)/(O$26-O$25+1),IF(AND($G238&lt;=O$26,$I238&gt;=O$26),(O$26-$G238+1)/(O$26-O$25+1),0)))))))</f>
        <v>0.0849315068493151</v>
      </c>
      <c r="P238" s="170" t="n">
        <f aca="false">IF(AND(P$26&lt;=$G$224,$G238=Model_Start_Date),1,IF(AND(P$25&lt;=$G$224,P$26&lt;=$I$224,$G238=Model_Start_Date),1,IF(AND(P$25&lt;=$G$224,P$26&gt;=$G$224,$G238=Model_Start_Date),($I$224-P$25+1)/(P$26-P$25+1),IF(AND($G238&gt;=P$25,$I238&lt;=P$26),($I238-$G238+1)/(P$26-P$25+1),IF(AND($G238&lt;=P$25,$I238&gt;=P$26),1,IF(AND($G238&lt;=P$25,$I238&gt;=P$25),($I238-P$25+1)/(P$26-P$25+1),IF(AND($G238&lt;=P$26,$I238&gt;=P$26),(P$26-$G238+1)/(P$26-P$25+1),0)))))))</f>
        <v>0.0849315068493151</v>
      </c>
    </row>
    <row r="239" customFormat="false" ht="13.8" hidden="false" customHeight="false" outlineLevel="0" collapsed="false">
      <c r="B239" s="1"/>
      <c r="D239" s="1"/>
      <c r="F239" s="5" t="e">
        <f aca="false">MATCH(G239,#REF!)</f>
        <v>#VALUE!</v>
      </c>
      <c r="G239" s="169" t="n">
        <f aca="false">IF(I238=0,Model_Start_Date,I238+1)</f>
        <v>46113</v>
      </c>
      <c r="H239" s="1"/>
      <c r="I239" s="169" t="n">
        <f aca="false">EOMONTH(G239,0)</f>
        <v>46142</v>
      </c>
      <c r="K239" s="15" t="s">
        <v>687</v>
      </c>
      <c r="L239" s="12"/>
      <c r="M239" s="170" t="n">
        <f aca="false">IF(AND(M$26&lt;=$G$224,$G239=Model_Start_Date),1,IF(AND(M$25&lt;=$G$224,M$26&lt;=$I$224,$G239=Model_Start_Date),1,IF(AND(M$25&lt;=$G$224,M$26&gt;=$G$224,$G239=Model_Start_Date),($I$224-M$25+1)/(M$26-M$25+1),IF(AND($G239&gt;=M$25,$I239&lt;=M$26),($I239-$G239+1)/(M$26-M$25+1),IF(AND($G239&lt;=M$25,$I239&gt;=M$26),1,IF(AND($G239&lt;=M$25,$I239&gt;=M$25),($I239-M$25+1)/(M$26-M$25+1),IF(AND($G239&lt;=M$26,$I239&gt;=M$26),(M$26-$G239+1)/(M$26-M$25+1),0)))))))</f>
        <v>0</v>
      </c>
      <c r="N239" s="170" t="n">
        <f aca="false">IF(AND(N$26&lt;=$G$224,$G239=Model_Start_Date),1,IF(AND(N$25&lt;=$G$224,N$26&lt;=$I$224,$G239=Model_Start_Date),1,IF(AND(N$25&lt;=$G$224,N$26&gt;=$G$224,$G239=Model_Start_Date),($I$224-N$25+1)/(N$26-N$25+1),IF(AND($G239&gt;=N$25,$I239&lt;=N$26),($I239-$G239+1)/(N$26-N$25+1),IF(AND($G239&lt;=N$25,$I239&gt;=N$26),1,IF(AND($G239&lt;=N$25,$I239&gt;=N$25),($I239-N$25+1)/(N$26-N$25+1),IF(AND($G239&lt;=N$26,$I239&gt;=N$26),(N$26-$G239+1)/(N$26-N$25+1),0)))))))</f>
        <v>0.0821917808219178</v>
      </c>
      <c r="O239" s="170" t="n">
        <f aca="false">IF(AND(O$26&lt;=$G$224,$G239=Model_Start_Date),1,IF(AND(O$25&lt;=$G$224,O$26&lt;=$I$224,$G239=Model_Start_Date),1,IF(AND(O$25&lt;=$G$224,O$26&gt;=$G$224,$G239=Model_Start_Date),($I$224-O$25+1)/(O$26-O$25+1),IF(AND($G239&gt;=O$25,$I239&lt;=O$26),($I239-$G239+1)/(O$26-O$25+1),IF(AND($G239&lt;=O$25,$I239&gt;=O$26),1,IF(AND($G239&lt;=O$25,$I239&gt;=O$25),($I239-O$25+1)/(O$26-O$25+1),IF(AND($G239&lt;=O$26,$I239&gt;=O$26),(O$26-$G239+1)/(O$26-O$25+1),0)))))))</f>
        <v>0.0821917808219178</v>
      </c>
      <c r="P239" s="170" t="n">
        <f aca="false">IF(AND(P$26&lt;=$G$224,$G239=Model_Start_Date),1,IF(AND(P$25&lt;=$G$224,P$26&lt;=$I$224,$G239=Model_Start_Date),1,IF(AND(P$25&lt;=$G$224,P$26&gt;=$G$224,$G239=Model_Start_Date),($I$224-P$25+1)/(P$26-P$25+1),IF(AND($G239&gt;=P$25,$I239&lt;=P$26),($I239-$G239+1)/(P$26-P$25+1),IF(AND($G239&lt;=P$25,$I239&gt;=P$26),1,IF(AND($G239&lt;=P$25,$I239&gt;=P$25),($I239-P$25+1)/(P$26-P$25+1),IF(AND($G239&lt;=P$26,$I239&gt;=P$26),(P$26-$G239+1)/(P$26-P$25+1),0)))))))</f>
        <v>0.0821917808219178</v>
      </c>
    </row>
    <row r="240" customFormat="false" ht="13.8" hidden="false" customHeight="false" outlineLevel="0" collapsed="false">
      <c r="B240" s="1"/>
      <c r="D240" s="1"/>
      <c r="F240" s="5" t="e">
        <f aca="false">MATCH(G240,#REF!)</f>
        <v>#VALUE!</v>
      </c>
      <c r="G240" s="169" t="n">
        <f aca="false">IF(I239=0,Model_Start_Date,I239+1)</f>
        <v>46143</v>
      </c>
      <c r="H240" s="1"/>
      <c r="I240" s="169" t="n">
        <f aca="false">EOMONTH(G240,0)</f>
        <v>46173</v>
      </c>
      <c r="K240" s="15" t="s">
        <v>687</v>
      </c>
      <c r="L240" s="12"/>
      <c r="M240" s="170" t="n">
        <f aca="false">IF(AND(M$26&lt;=$G$224,$G240=Model_Start_Date),1,IF(AND(M$25&lt;=$G$224,M$26&lt;=$I$224,$G240=Model_Start_Date),1,IF(AND(M$25&lt;=$G$224,M$26&gt;=$G$224,$G240=Model_Start_Date),($I$224-M$25+1)/(M$26-M$25+1),IF(AND($G240&gt;=M$25,$I240&lt;=M$26),($I240-$G240+1)/(M$26-M$25+1),IF(AND($G240&lt;=M$25,$I240&gt;=M$26),1,IF(AND($G240&lt;=M$25,$I240&gt;=M$25),($I240-M$25+1)/(M$26-M$25+1),IF(AND($G240&lt;=M$26,$I240&gt;=M$26),(M$26-$G240+1)/(M$26-M$25+1),0)))))))</f>
        <v>0</v>
      </c>
      <c r="N240" s="170" t="n">
        <f aca="false">IF(AND(N$26&lt;=$G$224,$G240=Model_Start_Date),1,IF(AND(N$25&lt;=$G$224,N$26&lt;=$I$224,$G240=Model_Start_Date),1,IF(AND(N$25&lt;=$G$224,N$26&gt;=$G$224,$G240=Model_Start_Date),($I$224-N$25+1)/(N$26-N$25+1),IF(AND($G240&gt;=N$25,$I240&lt;=N$26),($I240-$G240+1)/(N$26-N$25+1),IF(AND($G240&lt;=N$25,$I240&gt;=N$26),1,IF(AND($G240&lt;=N$25,$I240&gt;=N$25),($I240-N$25+1)/(N$26-N$25+1),IF(AND($G240&lt;=N$26,$I240&gt;=N$26),(N$26-$G240+1)/(N$26-N$25+1),0)))))))</f>
        <v>0.0821917808219178</v>
      </c>
      <c r="O240" s="170" t="n">
        <f aca="false">IF(AND(O$26&lt;=$G$224,$G240=Model_Start_Date),1,IF(AND(O$25&lt;=$G$224,O$26&lt;=$I$224,$G240=Model_Start_Date),1,IF(AND(O$25&lt;=$G$224,O$26&gt;=$G$224,$G240=Model_Start_Date),($I$224-O$25+1)/(O$26-O$25+1),IF(AND($G240&gt;=O$25,$I240&lt;=O$26),($I240-$G240+1)/(O$26-O$25+1),IF(AND($G240&lt;=O$25,$I240&gt;=O$26),1,IF(AND($G240&lt;=O$25,$I240&gt;=O$25),($I240-O$25+1)/(O$26-O$25+1),IF(AND($G240&lt;=O$26,$I240&gt;=O$26),(O$26-$G240+1)/(O$26-O$25+1),0)))))))</f>
        <v>0.0821917808219178</v>
      </c>
      <c r="P240" s="170" t="n">
        <f aca="false">IF(AND(P$26&lt;=$G$224,$G240=Model_Start_Date),1,IF(AND(P$25&lt;=$G$224,P$26&lt;=$I$224,$G240=Model_Start_Date),1,IF(AND(P$25&lt;=$G$224,P$26&gt;=$G$224,$G240=Model_Start_Date),($I$224-P$25+1)/(P$26-P$25+1),IF(AND($G240&gt;=P$25,$I240&lt;=P$26),($I240-$G240+1)/(P$26-P$25+1),IF(AND($G240&lt;=P$25,$I240&gt;=P$26),1,IF(AND($G240&lt;=P$25,$I240&gt;=P$25),($I240-P$25+1)/(P$26-P$25+1),IF(AND($G240&lt;=P$26,$I240&gt;=P$26),(P$26-$G240+1)/(P$26-P$25+1),0)))))))</f>
        <v>0.0821917808219178</v>
      </c>
    </row>
    <row r="241" customFormat="false" ht="13.8" hidden="false" customHeight="false" outlineLevel="0" collapsed="false">
      <c r="B241" s="1"/>
      <c r="D241" s="1"/>
      <c r="F241" s="5" t="e">
        <f aca="false">MATCH(G241,#REF!)</f>
        <v>#VALUE!</v>
      </c>
      <c r="G241" s="169" t="n">
        <f aca="false">IF(I240=0,Model_Start_Date,I240+1)</f>
        <v>46174</v>
      </c>
      <c r="H241" s="1"/>
      <c r="I241" s="169" t="n">
        <f aca="false">EOMONTH(G241,0)</f>
        <v>46203</v>
      </c>
      <c r="K241" s="15" t="s">
        <v>687</v>
      </c>
      <c r="L241" s="12"/>
      <c r="M241" s="170" t="n">
        <f aca="false">IF(AND(M$26&lt;=$G$224,$G241=Model_Start_Date),1,IF(AND(M$25&lt;=$G$224,M$26&lt;=$I$224,$G241=Model_Start_Date),1,IF(AND(M$25&lt;=$G$224,M$26&gt;=$G$224,$G241=Model_Start_Date),($I$224-M$25+1)/(M$26-M$25+1),IF(AND($G241&gt;=M$25,$I241&lt;=M$26),($I241-$G241+1)/(M$26-M$25+1),IF(AND($G241&lt;=M$25,$I241&gt;=M$26),1,IF(AND($G241&lt;=M$25,$I241&gt;=M$25),($I241-M$25+1)/(M$26-M$25+1),IF(AND($G241&lt;=M$26,$I241&gt;=M$26),(M$26-$G241+1)/(M$26-M$25+1),0)))))))</f>
        <v>0</v>
      </c>
      <c r="N241" s="170" t="n">
        <f aca="false">IF(AND(N$26&lt;=$G$224,$G241=Model_Start_Date),1,IF(AND(N$25&lt;=$G$224,N$26&lt;=$I$224,$G241=Model_Start_Date),1,IF(AND(N$25&lt;=$G$224,N$26&gt;=$G$224,$G241=Model_Start_Date),($I$224-N$25+1)/(N$26-N$25+1),IF(AND($G241&gt;=N$25,$I241&lt;=N$26),($I241-$G241+1)/(N$26-N$25+1),IF(AND($G241&lt;=N$25,$I241&gt;=N$26),1,IF(AND($G241&lt;=N$25,$I241&gt;=N$25),($I241-N$25+1)/(N$26-N$25+1),IF(AND($G241&lt;=N$26,$I241&gt;=N$26),(N$26-$G241+1)/(N$26-N$25+1),0)))))))</f>
        <v>0</v>
      </c>
      <c r="O241" s="170" t="n">
        <f aca="false">IF(AND(O$26&lt;=$G$224,$G241=Model_Start_Date),1,IF(AND(O$25&lt;=$G$224,O$26&lt;=$I$224,$G241=Model_Start_Date),1,IF(AND(O$25&lt;=$G$224,O$26&gt;=$G$224,$G241=Model_Start_Date),($I$224-O$25+1)/(O$26-O$25+1),IF(AND($G241&gt;=O$25,$I241&lt;=O$26),($I241-$G241+1)/(O$26-O$25+1),IF(AND($G241&lt;=O$25,$I241&gt;=O$26),1,IF(AND($G241&lt;=O$25,$I241&gt;=O$25),($I241-O$25+1)/(O$26-O$25+1),IF(AND($G241&lt;=O$26,$I241&gt;=O$26),(O$26-$G241+1)/(O$26-O$25+1),0)))))))</f>
        <v>0</v>
      </c>
      <c r="P241" s="170" t="n">
        <f aca="false">IF(AND(P$26&lt;=$G$224,$G241=Model_Start_Date),1,IF(AND(P$25&lt;=$G$224,P$26&lt;=$I$224,$G241=Model_Start_Date),1,IF(AND(P$25&lt;=$G$224,P$26&gt;=$G$224,$G241=Model_Start_Date),($I$224-P$25+1)/(P$26-P$25+1),IF(AND($G241&gt;=P$25,$I241&lt;=P$26),($I241-$G241+1)/(P$26-P$25+1),IF(AND($G241&lt;=P$25,$I241&gt;=P$26),1,IF(AND($G241&lt;=P$25,$I241&gt;=P$25),($I241-P$25+1)/(P$26-P$25+1),IF(AND($G241&lt;=P$26,$I241&gt;=P$26),(P$26-$G241+1)/(P$26-P$25+1),0)))))))</f>
        <v>0</v>
      </c>
    </row>
    <row r="242" customFormat="false" ht="13.8" hidden="false" customHeight="false" outlineLevel="0" collapsed="false">
      <c r="B242" s="1"/>
      <c r="D242" s="1"/>
      <c r="F242" s="5" t="e">
        <f aca="false">MATCH(G242,#REF!)</f>
        <v>#VALUE!</v>
      </c>
      <c r="G242" s="169" t="n">
        <f aca="false">IF(I241=0,Model_Start_Date,I241+1)</f>
        <v>46204</v>
      </c>
      <c r="H242" s="1"/>
      <c r="I242" s="169" t="n">
        <f aca="false">EOMONTH(G242,0)</f>
        <v>46234</v>
      </c>
      <c r="K242" s="15" t="s">
        <v>687</v>
      </c>
      <c r="L242" s="12"/>
      <c r="M242" s="170" t="n">
        <f aca="false">IF(AND(M$26&lt;=$G$224,$G242=Model_Start_Date),1,IF(AND(M$25&lt;=$G$224,M$26&lt;=$I$224,$G242=Model_Start_Date),1,IF(AND(M$25&lt;=$G$224,M$26&gt;=$G$224,$G242=Model_Start_Date),($I$224-M$25+1)/(M$26-M$25+1),IF(AND($G242&gt;=M$25,$I242&lt;=M$26),($I242-$G242+1)/(M$26-M$25+1),IF(AND($G242&lt;=M$25,$I242&gt;=M$26),1,IF(AND($G242&lt;=M$25,$I242&gt;=M$25),($I242-M$25+1)/(M$26-M$25+1),IF(AND($G242&lt;=M$26,$I242&gt;=M$26),(M$26-$G242+1)/(M$26-M$25+1),0)))))))</f>
        <v>0</v>
      </c>
      <c r="N242" s="170" t="n">
        <f aca="false">IF(AND(N$26&lt;=$G$224,$G242=Model_Start_Date),1,IF(AND(N$25&lt;=$G$224,N$26&lt;=$I$224,$G242=Model_Start_Date),1,IF(AND(N$25&lt;=$G$224,N$26&gt;=$G$224,$G242=Model_Start_Date),($I$224-N$25+1)/(N$26-N$25+1),IF(AND($G242&gt;=N$25,$I242&lt;=N$26),($I242-$G242+1)/(N$26-N$25+1),IF(AND($G242&lt;=N$25,$I242&gt;=N$26),1,IF(AND($G242&lt;=N$25,$I242&gt;=N$25),($I242-N$25+1)/(N$26-N$25+1),IF(AND($G242&lt;=N$26,$I242&gt;=N$26),(N$26-$G242+1)/(N$26-N$25+1),0)))))))</f>
        <v>0</v>
      </c>
      <c r="O242" s="170" t="n">
        <f aca="false">IF(AND(O$26&lt;=$G$224,$G242=Model_Start_Date),1,IF(AND(O$25&lt;=$G$224,O$26&lt;=$I$224,$G242=Model_Start_Date),1,IF(AND(O$25&lt;=$G$224,O$26&gt;=$G$224,$G242=Model_Start_Date),($I$224-O$25+1)/(O$26-O$25+1),IF(AND($G242&gt;=O$25,$I242&lt;=O$26),($I242-$G242+1)/(O$26-O$25+1),IF(AND($G242&lt;=O$25,$I242&gt;=O$26),1,IF(AND($G242&lt;=O$25,$I242&gt;=O$25),($I242-O$25+1)/(O$26-O$25+1),IF(AND($G242&lt;=O$26,$I242&gt;=O$26),(O$26-$G242+1)/(O$26-O$25+1),0)))))))</f>
        <v>0</v>
      </c>
      <c r="P242" s="170" t="n">
        <f aca="false">IF(AND(P$26&lt;=$G$224,$G242=Model_Start_Date),1,IF(AND(P$25&lt;=$G$224,P$26&lt;=$I$224,$G242=Model_Start_Date),1,IF(AND(P$25&lt;=$G$224,P$26&gt;=$G$224,$G242=Model_Start_Date),($I$224-P$25+1)/(P$26-P$25+1),IF(AND($G242&gt;=P$25,$I242&lt;=P$26),($I242-$G242+1)/(P$26-P$25+1),IF(AND($G242&lt;=P$25,$I242&gt;=P$26),1,IF(AND($G242&lt;=P$25,$I242&gt;=P$25),($I242-P$25+1)/(P$26-P$25+1),IF(AND($G242&lt;=P$26,$I242&gt;=P$26),(P$26-$G242+1)/(P$26-P$25+1),0)))))))</f>
        <v>0</v>
      </c>
    </row>
    <row r="243" customFormat="false" ht="13.8" hidden="false" customHeight="false" outlineLevel="0" collapsed="false">
      <c r="B243" s="1"/>
      <c r="D243" s="1"/>
      <c r="F243" s="5" t="e">
        <f aca="false">MATCH(G243,#REF!)</f>
        <v>#VALUE!</v>
      </c>
      <c r="G243" s="169" t="n">
        <f aca="false">IF(I242=0,Model_Start_Date,I242+1)</f>
        <v>46235</v>
      </c>
      <c r="H243" s="1"/>
      <c r="I243" s="169" t="n">
        <f aca="false">EOMONTH(G243,0)</f>
        <v>46265</v>
      </c>
      <c r="K243" s="15" t="s">
        <v>687</v>
      </c>
      <c r="L243" s="12"/>
      <c r="M243" s="170" t="n">
        <f aca="false">IF(AND(M$26&lt;=$G$224,$G243=Model_Start_Date),1,IF(AND(M$25&lt;=$G$224,M$26&lt;=$I$224,$G243=Model_Start_Date),1,IF(AND(M$25&lt;=$G$224,M$26&gt;=$G$224,$G243=Model_Start_Date),($I$224-M$25+1)/(M$26-M$25+1),IF(AND($G243&gt;=M$25,$I243&lt;=M$26),($I243-$G243+1)/(M$26-M$25+1),IF(AND($G243&lt;=M$25,$I243&gt;=M$26),1,IF(AND($G243&lt;=M$25,$I243&gt;=M$25),($I243-M$25+1)/(M$26-M$25+1),IF(AND($G243&lt;=M$26,$I243&gt;=M$26),(M$26-$G243+1)/(M$26-M$25+1),0)))))))</f>
        <v>0</v>
      </c>
      <c r="N243" s="170" t="n">
        <f aca="false">IF(AND(N$26&lt;=$G$224,$G243=Model_Start_Date),1,IF(AND(N$25&lt;=$G$224,N$26&lt;=$I$224,$G243=Model_Start_Date),1,IF(AND(N$25&lt;=$G$224,N$26&gt;=$G$224,$G243=Model_Start_Date),($I$224-N$25+1)/(N$26-N$25+1),IF(AND($G243&gt;=N$25,$I243&lt;=N$26),($I243-$G243+1)/(N$26-N$25+1),IF(AND($G243&lt;=N$25,$I243&gt;=N$26),1,IF(AND($G243&lt;=N$25,$I243&gt;=N$25),($I243-N$25+1)/(N$26-N$25+1),IF(AND($G243&lt;=N$26,$I243&gt;=N$26),(N$26-$G243+1)/(N$26-N$25+1),0)))))))</f>
        <v>0</v>
      </c>
      <c r="O243" s="170" t="n">
        <f aca="false">IF(AND(O$26&lt;=$G$224,$G243=Model_Start_Date),1,IF(AND(O$25&lt;=$G$224,O$26&lt;=$I$224,$G243=Model_Start_Date),1,IF(AND(O$25&lt;=$G$224,O$26&gt;=$G$224,$G243=Model_Start_Date),($I$224-O$25+1)/(O$26-O$25+1),IF(AND($G243&gt;=O$25,$I243&lt;=O$26),($I243-$G243+1)/(O$26-O$25+1),IF(AND($G243&lt;=O$25,$I243&gt;=O$26),1,IF(AND($G243&lt;=O$25,$I243&gt;=O$25),($I243-O$25+1)/(O$26-O$25+1),IF(AND($G243&lt;=O$26,$I243&gt;=O$26),(O$26-$G243+1)/(O$26-O$25+1),0)))))))</f>
        <v>0</v>
      </c>
      <c r="P243" s="170" t="n">
        <f aca="false">IF(AND(P$26&lt;=$G$224,$G243=Model_Start_Date),1,IF(AND(P$25&lt;=$G$224,P$26&lt;=$I$224,$G243=Model_Start_Date),1,IF(AND(P$25&lt;=$G$224,P$26&gt;=$G$224,$G243=Model_Start_Date),($I$224-P$25+1)/(P$26-P$25+1),IF(AND($G243&gt;=P$25,$I243&lt;=P$26),($I243-$G243+1)/(P$26-P$25+1),IF(AND($G243&lt;=P$25,$I243&gt;=P$26),1,IF(AND($G243&lt;=P$25,$I243&gt;=P$25),($I243-P$25+1)/(P$26-P$25+1),IF(AND($G243&lt;=P$26,$I243&gt;=P$26),(P$26-$G243+1)/(P$26-P$25+1),0)))))))</f>
        <v>0</v>
      </c>
    </row>
    <row r="244" customFormat="false" ht="13.8" hidden="false" customHeight="false" outlineLevel="0" collapsed="false">
      <c r="B244" s="1"/>
      <c r="D244" s="1"/>
      <c r="F244" s="5" t="e">
        <f aca="false">MATCH(G244,#REF!)</f>
        <v>#VALUE!</v>
      </c>
      <c r="G244" s="169" t="n">
        <f aca="false">IF(I243=0,Model_Start_Date,I243+1)</f>
        <v>46266</v>
      </c>
      <c r="H244" s="1"/>
      <c r="I244" s="169" t="n">
        <f aca="false">EOMONTH(G244,0)</f>
        <v>46295</v>
      </c>
      <c r="K244" s="15" t="s">
        <v>687</v>
      </c>
      <c r="L244" s="12"/>
      <c r="M244" s="170" t="n">
        <f aca="false">IF(AND(M$26&lt;=$G$224,$G244=Model_Start_Date),1,IF(AND(M$25&lt;=$G$224,M$26&lt;=$I$224,$G244=Model_Start_Date),1,IF(AND(M$25&lt;=$G$224,M$26&gt;=$G$224,$G244=Model_Start_Date),($I$224-M$25+1)/(M$26-M$25+1),IF(AND($G244&gt;=M$25,$I244&lt;=M$26),($I244-$G244+1)/(M$26-M$25+1),IF(AND($G244&lt;=M$25,$I244&gt;=M$26),1,IF(AND($G244&lt;=M$25,$I244&gt;=M$25),($I244-M$25+1)/(M$26-M$25+1),IF(AND($G244&lt;=M$26,$I244&gt;=M$26),(M$26-$G244+1)/(M$26-M$25+1),0)))))))</f>
        <v>0</v>
      </c>
      <c r="N244" s="170" t="n">
        <f aca="false">IF(AND(N$26&lt;=$G$224,$G244=Model_Start_Date),1,IF(AND(N$25&lt;=$G$224,N$26&lt;=$I$224,$G244=Model_Start_Date),1,IF(AND(N$25&lt;=$G$224,N$26&gt;=$G$224,$G244=Model_Start_Date),($I$224-N$25+1)/(N$26-N$25+1),IF(AND($G244&gt;=N$25,$I244&lt;=N$26),($I244-$G244+1)/(N$26-N$25+1),IF(AND($G244&lt;=N$25,$I244&gt;=N$26),1,IF(AND($G244&lt;=N$25,$I244&gt;=N$25),($I244-N$25+1)/(N$26-N$25+1),IF(AND($G244&lt;=N$26,$I244&gt;=N$26),(N$26-$G244+1)/(N$26-N$25+1),0)))))))</f>
        <v>0</v>
      </c>
      <c r="O244" s="170" t="n">
        <f aca="false">IF(AND(O$26&lt;=$G$224,$G244=Model_Start_Date),1,IF(AND(O$25&lt;=$G$224,O$26&lt;=$I$224,$G244=Model_Start_Date),1,IF(AND(O$25&lt;=$G$224,O$26&gt;=$G$224,$G244=Model_Start_Date),($I$224-O$25+1)/(O$26-O$25+1),IF(AND($G244&gt;=O$25,$I244&lt;=O$26),($I244-$G244+1)/(O$26-O$25+1),IF(AND($G244&lt;=O$25,$I244&gt;=O$26),1,IF(AND($G244&lt;=O$25,$I244&gt;=O$25),($I244-O$25+1)/(O$26-O$25+1),IF(AND($G244&lt;=O$26,$I244&gt;=O$26),(O$26-$G244+1)/(O$26-O$25+1),0)))))))</f>
        <v>0</v>
      </c>
      <c r="P244" s="170" t="n">
        <f aca="false">IF(AND(P$26&lt;=$G$224,$G244=Model_Start_Date),1,IF(AND(P$25&lt;=$G$224,P$26&lt;=$I$224,$G244=Model_Start_Date),1,IF(AND(P$25&lt;=$G$224,P$26&gt;=$G$224,$G244=Model_Start_Date),($I$224-P$25+1)/(P$26-P$25+1),IF(AND($G244&gt;=P$25,$I244&lt;=P$26),($I244-$G244+1)/(P$26-P$25+1),IF(AND($G244&lt;=P$25,$I244&gt;=P$26),1,IF(AND($G244&lt;=P$25,$I244&gt;=P$25),($I244-P$25+1)/(P$26-P$25+1),IF(AND($G244&lt;=P$26,$I244&gt;=P$26),(P$26-$G244+1)/(P$26-P$25+1),0)))))))</f>
        <v>0</v>
      </c>
    </row>
    <row r="245" customFormat="false" ht="13.8" hidden="false" customHeight="false" outlineLevel="0" collapsed="false">
      <c r="B245" s="1"/>
      <c r="D245" s="1"/>
      <c r="F245" s="5" t="e">
        <f aca="false">MATCH(G245,#REF!)</f>
        <v>#VALUE!</v>
      </c>
      <c r="G245" s="169" t="n">
        <f aca="false">IF(I244=0,Model_Start_Date,I244+1)</f>
        <v>46296</v>
      </c>
      <c r="H245" s="1"/>
      <c r="I245" s="169" t="n">
        <f aca="false">EOMONTH(G245,0)</f>
        <v>46326</v>
      </c>
      <c r="K245" s="15" t="s">
        <v>687</v>
      </c>
      <c r="L245" s="12"/>
      <c r="M245" s="170" t="n">
        <f aca="false">IF(AND(M$26&lt;=$G$224,$G245=Model_Start_Date),1,IF(AND(M$25&lt;=$G$224,M$26&lt;=$I$224,$G245=Model_Start_Date),1,IF(AND(M$25&lt;=$G$224,M$26&gt;=$G$224,$G245=Model_Start_Date),($I$224-M$25+1)/(M$26-M$25+1),IF(AND($G245&gt;=M$25,$I245&lt;=M$26),($I245-$G245+1)/(M$26-M$25+1),IF(AND($G245&lt;=M$25,$I245&gt;=M$26),1,IF(AND($G245&lt;=M$25,$I245&gt;=M$25),($I245-M$25+1)/(M$26-M$25+1),IF(AND($G245&lt;=M$26,$I245&gt;=M$26),(M$26-$G245+1)/(M$26-M$25+1),0)))))))</f>
        <v>0</v>
      </c>
      <c r="N245" s="170" t="n">
        <f aca="false">IF(AND(N$26&lt;=$G$224,$G245=Model_Start_Date),1,IF(AND(N$25&lt;=$G$224,N$26&lt;=$I$224,$G245=Model_Start_Date),1,IF(AND(N$25&lt;=$G$224,N$26&gt;=$G$224,$G245=Model_Start_Date),($I$224-N$25+1)/(N$26-N$25+1),IF(AND($G245&gt;=N$25,$I245&lt;=N$26),($I245-$G245+1)/(N$26-N$25+1),IF(AND($G245&lt;=N$25,$I245&gt;=N$26),1,IF(AND($G245&lt;=N$25,$I245&gt;=N$25),($I245-N$25+1)/(N$26-N$25+1),IF(AND($G245&lt;=N$26,$I245&gt;=N$26),(N$26-$G245+1)/(N$26-N$25+1),0)))))))</f>
        <v>0</v>
      </c>
      <c r="O245" s="170" t="n">
        <f aca="false">IF(AND(O$26&lt;=$G$224,$G245=Model_Start_Date),1,IF(AND(O$25&lt;=$G$224,O$26&lt;=$I$224,$G245=Model_Start_Date),1,IF(AND(O$25&lt;=$G$224,O$26&gt;=$G$224,$G245=Model_Start_Date),($I$224-O$25+1)/(O$26-O$25+1),IF(AND($G245&gt;=O$25,$I245&lt;=O$26),($I245-$G245+1)/(O$26-O$25+1),IF(AND($G245&lt;=O$25,$I245&gt;=O$26),1,IF(AND($G245&lt;=O$25,$I245&gt;=O$25),($I245-O$25+1)/(O$26-O$25+1),IF(AND($G245&lt;=O$26,$I245&gt;=O$26),(O$26-$G245+1)/(O$26-O$25+1),0)))))))</f>
        <v>0</v>
      </c>
      <c r="P245" s="170" t="n">
        <f aca="false">IF(AND(P$26&lt;=$G$224,$G245=Model_Start_Date),1,IF(AND(P$25&lt;=$G$224,P$26&lt;=$I$224,$G245=Model_Start_Date),1,IF(AND(P$25&lt;=$G$224,P$26&gt;=$G$224,$G245=Model_Start_Date),($I$224-P$25+1)/(P$26-P$25+1),IF(AND($G245&gt;=P$25,$I245&lt;=P$26),($I245-$G245+1)/(P$26-P$25+1),IF(AND($G245&lt;=P$25,$I245&gt;=P$26),1,IF(AND($G245&lt;=P$25,$I245&gt;=P$25),($I245-P$25+1)/(P$26-P$25+1),IF(AND($G245&lt;=P$26,$I245&gt;=P$26),(P$26-$G245+1)/(P$26-P$25+1),0)))))))</f>
        <v>0</v>
      </c>
    </row>
    <row r="246" customFormat="false" ht="13.8" hidden="false" customHeight="false" outlineLevel="0" collapsed="false">
      <c r="B246" s="1"/>
      <c r="D246" s="1"/>
      <c r="F246" s="5" t="e">
        <f aca="false">MATCH(G246,#REF!)</f>
        <v>#VALUE!</v>
      </c>
      <c r="G246" s="169" t="n">
        <f aca="false">IF(I245=0,Model_Start_Date,I245+1)</f>
        <v>46327</v>
      </c>
      <c r="H246" s="1"/>
      <c r="I246" s="169" t="n">
        <f aca="false">EOMONTH(G246,0)</f>
        <v>46356</v>
      </c>
      <c r="K246" s="15" t="s">
        <v>687</v>
      </c>
      <c r="L246" s="12"/>
      <c r="M246" s="170" t="n">
        <f aca="false">IF(AND(M$26&lt;=$G$224,$G246=Model_Start_Date),1,IF(AND(M$25&lt;=$G$224,M$26&lt;=$I$224,$G246=Model_Start_Date),1,IF(AND(M$25&lt;=$G$224,M$26&gt;=$G$224,$G246=Model_Start_Date),($I$224-M$25+1)/(M$26-M$25+1),IF(AND($G246&gt;=M$25,$I246&lt;=M$26),($I246-$G246+1)/(M$26-M$25+1),IF(AND($G246&lt;=M$25,$I246&gt;=M$26),1,IF(AND($G246&lt;=M$25,$I246&gt;=M$25),($I246-M$25+1)/(M$26-M$25+1),IF(AND($G246&lt;=M$26,$I246&gt;=M$26),(M$26-$G246+1)/(M$26-M$25+1),0)))))))</f>
        <v>0</v>
      </c>
      <c r="N246" s="170" t="n">
        <f aca="false">IF(AND(N$26&lt;=$G$224,$G246=Model_Start_Date),1,IF(AND(N$25&lt;=$G$224,N$26&lt;=$I$224,$G246=Model_Start_Date),1,IF(AND(N$25&lt;=$G$224,N$26&gt;=$G$224,$G246=Model_Start_Date),($I$224-N$25+1)/(N$26-N$25+1),IF(AND($G246&gt;=N$25,$I246&lt;=N$26),($I246-$G246+1)/(N$26-N$25+1),IF(AND($G246&lt;=N$25,$I246&gt;=N$26),1,IF(AND($G246&lt;=N$25,$I246&gt;=N$25),($I246-N$25+1)/(N$26-N$25+1),IF(AND($G246&lt;=N$26,$I246&gt;=N$26),(N$26-$G246+1)/(N$26-N$25+1),0)))))))</f>
        <v>0</v>
      </c>
      <c r="O246" s="170" t="n">
        <f aca="false">IF(AND(O$26&lt;=$G$224,$G246=Model_Start_Date),1,IF(AND(O$25&lt;=$G$224,O$26&lt;=$I$224,$G246=Model_Start_Date),1,IF(AND(O$25&lt;=$G$224,O$26&gt;=$G$224,$G246=Model_Start_Date),($I$224-O$25+1)/(O$26-O$25+1),IF(AND($G246&gt;=O$25,$I246&lt;=O$26),($I246-$G246+1)/(O$26-O$25+1),IF(AND($G246&lt;=O$25,$I246&gt;=O$26),1,IF(AND($G246&lt;=O$25,$I246&gt;=O$25),($I246-O$25+1)/(O$26-O$25+1),IF(AND($G246&lt;=O$26,$I246&gt;=O$26),(O$26-$G246+1)/(O$26-O$25+1),0)))))))</f>
        <v>0</v>
      </c>
      <c r="P246" s="170" t="n">
        <f aca="false">IF(AND(P$26&lt;=$G$224,$G246=Model_Start_Date),1,IF(AND(P$25&lt;=$G$224,P$26&lt;=$I$224,$G246=Model_Start_Date),1,IF(AND(P$25&lt;=$G$224,P$26&gt;=$G$224,$G246=Model_Start_Date),($I$224-P$25+1)/(P$26-P$25+1),IF(AND($G246&gt;=P$25,$I246&lt;=P$26),($I246-$G246+1)/(P$26-P$25+1),IF(AND($G246&lt;=P$25,$I246&gt;=P$26),1,IF(AND($G246&lt;=P$25,$I246&gt;=P$25),($I246-P$25+1)/(P$26-P$25+1),IF(AND($G246&lt;=P$26,$I246&gt;=P$26),(P$26-$G246+1)/(P$26-P$25+1),0)))))))</f>
        <v>0</v>
      </c>
    </row>
    <row r="247" customFormat="false" ht="13.8" hidden="false" customHeight="false" outlineLevel="0" collapsed="false">
      <c r="B247" s="1"/>
      <c r="D247" s="1"/>
      <c r="F247" s="5" t="e">
        <f aca="false">MATCH(G247,#REF!)</f>
        <v>#VALUE!</v>
      </c>
      <c r="G247" s="169" t="n">
        <f aca="false">IF(I246=0,Model_Start_Date,I246+1)</f>
        <v>46357</v>
      </c>
      <c r="H247" s="1"/>
      <c r="I247" s="169" t="n">
        <f aca="false">EOMONTH(G247,0)</f>
        <v>46387</v>
      </c>
      <c r="K247" s="15" t="s">
        <v>687</v>
      </c>
      <c r="L247" s="12"/>
      <c r="M247" s="170" t="n">
        <f aca="false">IF(AND(M$26&lt;=$G$224,$G247=Model_Start_Date),1,IF(AND(M$25&lt;=$G$224,M$26&lt;=$I$224,$G247=Model_Start_Date),1,IF(AND(M$25&lt;=$G$224,M$26&gt;=$G$224,$G247=Model_Start_Date),($I$224-M$25+1)/(M$26-M$25+1),IF(AND($G247&gt;=M$25,$I247&lt;=M$26),($I247-$G247+1)/(M$26-M$25+1),IF(AND($G247&lt;=M$25,$I247&gt;=M$26),1,IF(AND($G247&lt;=M$25,$I247&gt;=M$25),($I247-M$25+1)/(M$26-M$25+1),IF(AND($G247&lt;=M$26,$I247&gt;=M$26),(M$26-$G247+1)/(M$26-M$25+1),0)))))))</f>
        <v>0</v>
      </c>
      <c r="N247" s="170" t="n">
        <f aca="false">IF(AND(N$26&lt;=$G$224,$G247=Model_Start_Date),1,IF(AND(N$25&lt;=$G$224,N$26&lt;=$I$224,$G247=Model_Start_Date),1,IF(AND(N$25&lt;=$G$224,N$26&gt;=$G$224,$G247=Model_Start_Date),($I$224-N$25+1)/(N$26-N$25+1),IF(AND($G247&gt;=N$25,$I247&lt;=N$26),($I247-$G247+1)/(N$26-N$25+1),IF(AND($G247&lt;=N$25,$I247&gt;=N$26),1,IF(AND($G247&lt;=N$25,$I247&gt;=N$25),($I247-N$25+1)/(N$26-N$25+1),IF(AND($G247&lt;=N$26,$I247&gt;=N$26),(N$26-$G247+1)/(N$26-N$25+1),0)))))))</f>
        <v>0</v>
      </c>
      <c r="O247" s="170" t="n">
        <f aca="false">IF(AND(O$26&lt;=$G$224,$G247=Model_Start_Date),1,IF(AND(O$25&lt;=$G$224,O$26&lt;=$I$224,$G247=Model_Start_Date),1,IF(AND(O$25&lt;=$G$224,O$26&gt;=$G$224,$G247=Model_Start_Date),($I$224-O$25+1)/(O$26-O$25+1),IF(AND($G247&gt;=O$25,$I247&lt;=O$26),($I247-$G247+1)/(O$26-O$25+1),IF(AND($G247&lt;=O$25,$I247&gt;=O$26),1,IF(AND($G247&lt;=O$25,$I247&gt;=O$25),($I247-O$25+1)/(O$26-O$25+1),IF(AND($G247&lt;=O$26,$I247&gt;=O$26),(O$26-$G247+1)/(O$26-O$25+1),0)))))))</f>
        <v>0</v>
      </c>
      <c r="P247" s="170" t="n">
        <f aca="false">IF(AND(P$26&lt;=$G$224,$G247=Model_Start_Date),1,IF(AND(P$25&lt;=$G$224,P$26&lt;=$I$224,$G247=Model_Start_Date),1,IF(AND(P$25&lt;=$G$224,P$26&gt;=$G$224,$G247=Model_Start_Date),($I$224-P$25+1)/(P$26-P$25+1),IF(AND($G247&gt;=P$25,$I247&lt;=P$26),($I247-$G247+1)/(P$26-P$25+1),IF(AND($G247&lt;=P$25,$I247&gt;=P$26),1,IF(AND($G247&lt;=P$25,$I247&gt;=P$25),($I247-P$25+1)/(P$26-P$25+1),IF(AND($G247&lt;=P$26,$I247&gt;=P$26),(P$26-$G247+1)/(P$26-P$25+1),0)))))))</f>
        <v>0</v>
      </c>
    </row>
    <row r="248" customFormat="false" ht="13.8" hidden="false" customHeight="false" outlineLevel="0" collapsed="false">
      <c r="B248" s="1"/>
      <c r="D248" s="1"/>
      <c r="F248" s="5" t="e">
        <f aca="false">MATCH(G248,#REF!)</f>
        <v>#VALUE!</v>
      </c>
      <c r="G248" s="169" t="n">
        <f aca="false">IF(I247=0,Model_Start_Date,I247+1)</f>
        <v>46388</v>
      </c>
      <c r="H248" s="1"/>
      <c r="I248" s="169" t="n">
        <f aca="false">EOMONTH(G248,0)</f>
        <v>46418</v>
      </c>
      <c r="K248" s="15" t="s">
        <v>687</v>
      </c>
      <c r="L248" s="12"/>
      <c r="M248" s="170" t="n">
        <f aca="false">IF(AND(M$26&lt;=$G$224,$G248=Model_Start_Date),1,IF(AND(M$25&lt;=$G$224,M$26&lt;=$I$224,$G248=Model_Start_Date),1,IF(AND(M$25&lt;=$G$224,M$26&gt;=$G$224,$G248=Model_Start_Date),($I$224-M$25+1)/(M$26-M$25+1),IF(AND($G248&gt;=M$25,$I248&lt;=M$26),($I248-$G248+1)/(M$26-M$25+1),IF(AND($G248&lt;=M$25,$I248&gt;=M$26),1,IF(AND($G248&lt;=M$25,$I248&gt;=M$25),($I248-M$25+1)/(M$26-M$25+1),IF(AND($G248&lt;=M$26,$I248&gt;=M$26),(M$26-$G248+1)/(M$26-M$25+1),0)))))))</f>
        <v>0</v>
      </c>
      <c r="N248" s="170" t="n">
        <f aca="false">IF(AND(N$26&lt;=$G$224,$G248=Model_Start_Date),1,IF(AND(N$25&lt;=$G$224,N$26&lt;=$I$224,$G248=Model_Start_Date),1,IF(AND(N$25&lt;=$G$224,N$26&gt;=$G$224,$G248=Model_Start_Date),($I$224-N$25+1)/(N$26-N$25+1),IF(AND($G248&gt;=N$25,$I248&lt;=N$26),($I248-$G248+1)/(N$26-N$25+1),IF(AND($G248&lt;=N$25,$I248&gt;=N$26),1,IF(AND($G248&lt;=N$25,$I248&gt;=N$25),($I248-N$25+1)/(N$26-N$25+1),IF(AND($G248&lt;=N$26,$I248&gt;=N$26),(N$26-$G248+1)/(N$26-N$25+1),0)))))))</f>
        <v>0</v>
      </c>
      <c r="O248" s="170" t="n">
        <f aca="false">IF(AND(O$26&lt;=$G$224,$G248=Model_Start_Date),1,IF(AND(O$25&lt;=$G$224,O$26&lt;=$I$224,$G248=Model_Start_Date),1,IF(AND(O$25&lt;=$G$224,O$26&gt;=$G$224,$G248=Model_Start_Date),($I$224-O$25+1)/(O$26-O$25+1),IF(AND($G248&gt;=O$25,$I248&lt;=O$26),($I248-$G248+1)/(O$26-O$25+1),IF(AND($G248&lt;=O$25,$I248&gt;=O$26),1,IF(AND($G248&lt;=O$25,$I248&gt;=O$25),($I248-O$25+1)/(O$26-O$25+1),IF(AND($G248&lt;=O$26,$I248&gt;=O$26),(O$26-$G248+1)/(O$26-O$25+1),0)))))))</f>
        <v>0</v>
      </c>
      <c r="P248" s="170" t="n">
        <f aca="false">IF(AND(P$26&lt;=$G$224,$G248=Model_Start_Date),1,IF(AND(P$25&lt;=$G$224,P$26&lt;=$I$224,$G248=Model_Start_Date),1,IF(AND(P$25&lt;=$G$224,P$26&gt;=$G$224,$G248=Model_Start_Date),($I$224-P$25+1)/(P$26-P$25+1),IF(AND($G248&gt;=P$25,$I248&lt;=P$26),($I248-$G248+1)/(P$26-P$25+1),IF(AND($G248&lt;=P$25,$I248&gt;=P$26),1,IF(AND($G248&lt;=P$25,$I248&gt;=P$25),($I248-P$25+1)/(P$26-P$25+1),IF(AND($G248&lt;=P$26,$I248&gt;=P$26),(P$26-$G248+1)/(P$26-P$25+1),0)))))))</f>
        <v>0</v>
      </c>
    </row>
    <row r="249" customFormat="false" ht="13.8" hidden="false" customHeight="false" outlineLevel="0" collapsed="false">
      <c r="B249" s="1"/>
      <c r="D249" s="1"/>
      <c r="F249" s="5" t="e">
        <f aca="false">MATCH(G249,#REF!)</f>
        <v>#VALUE!</v>
      </c>
      <c r="G249" s="169" t="n">
        <f aca="false">IF(I248=0,Model_Start_Date,I248+1)</f>
        <v>46419</v>
      </c>
      <c r="H249" s="1"/>
      <c r="I249" s="169" t="n">
        <f aca="false">EOMONTH(G249,0)</f>
        <v>46446</v>
      </c>
      <c r="K249" s="15" t="s">
        <v>687</v>
      </c>
      <c r="L249" s="12"/>
      <c r="M249" s="170" t="n">
        <f aca="false">IF(AND(M$26&lt;=$G$224,$G249=Model_Start_Date),1,IF(AND(M$25&lt;=$G$224,M$26&lt;=$I$224,$G249=Model_Start_Date),1,IF(AND(M$25&lt;=$G$224,M$26&gt;=$G$224,$G249=Model_Start_Date),($I$224-M$25+1)/(M$26-M$25+1),IF(AND($G249&gt;=M$25,$I249&lt;=M$26),($I249-$G249+1)/(M$26-M$25+1),IF(AND($G249&lt;=M$25,$I249&gt;=M$26),1,IF(AND($G249&lt;=M$25,$I249&gt;=M$25),($I249-M$25+1)/(M$26-M$25+1),IF(AND($G249&lt;=M$26,$I249&gt;=M$26),(M$26-$G249+1)/(M$26-M$25+1),0)))))))</f>
        <v>0</v>
      </c>
      <c r="N249" s="170" t="n">
        <f aca="false">IF(AND(N$26&lt;=$G$224,$G249=Model_Start_Date),1,IF(AND(N$25&lt;=$G$224,N$26&lt;=$I$224,$G249=Model_Start_Date),1,IF(AND(N$25&lt;=$G$224,N$26&gt;=$G$224,$G249=Model_Start_Date),($I$224-N$25+1)/(N$26-N$25+1),IF(AND($G249&gt;=N$25,$I249&lt;=N$26),($I249-$G249+1)/(N$26-N$25+1),IF(AND($G249&lt;=N$25,$I249&gt;=N$26),1,IF(AND($G249&lt;=N$25,$I249&gt;=N$25),($I249-N$25+1)/(N$26-N$25+1),IF(AND($G249&lt;=N$26,$I249&gt;=N$26),(N$26-$G249+1)/(N$26-N$25+1),0)))))))</f>
        <v>0</v>
      </c>
      <c r="O249" s="170" t="n">
        <f aca="false">IF(AND(O$26&lt;=$G$224,$G249=Model_Start_Date),1,IF(AND(O$25&lt;=$G$224,O$26&lt;=$I$224,$G249=Model_Start_Date),1,IF(AND(O$25&lt;=$G$224,O$26&gt;=$G$224,$G249=Model_Start_Date),($I$224-O$25+1)/(O$26-O$25+1),IF(AND($G249&gt;=O$25,$I249&lt;=O$26),($I249-$G249+1)/(O$26-O$25+1),IF(AND($G249&lt;=O$25,$I249&gt;=O$26),1,IF(AND($G249&lt;=O$25,$I249&gt;=O$25),($I249-O$25+1)/(O$26-O$25+1),IF(AND($G249&lt;=O$26,$I249&gt;=O$26),(O$26-$G249+1)/(O$26-O$25+1),0)))))))</f>
        <v>0</v>
      </c>
      <c r="P249" s="170" t="n">
        <f aca="false">IF(AND(P$26&lt;=$G$224,$G249=Model_Start_Date),1,IF(AND(P$25&lt;=$G$224,P$26&lt;=$I$224,$G249=Model_Start_Date),1,IF(AND(P$25&lt;=$G$224,P$26&gt;=$G$224,$G249=Model_Start_Date),($I$224-P$25+1)/(P$26-P$25+1),IF(AND($G249&gt;=P$25,$I249&lt;=P$26),($I249-$G249+1)/(P$26-P$25+1),IF(AND($G249&lt;=P$25,$I249&gt;=P$26),1,IF(AND($G249&lt;=P$25,$I249&gt;=P$25),($I249-P$25+1)/(P$26-P$25+1),IF(AND($G249&lt;=P$26,$I249&gt;=P$26),(P$26-$G249+1)/(P$26-P$25+1),0)))))))</f>
        <v>0</v>
      </c>
    </row>
    <row r="250" customFormat="false" ht="13.8" hidden="false" customHeight="false" outlineLevel="0" collapsed="false">
      <c r="B250" s="1"/>
      <c r="D250" s="1"/>
      <c r="F250" s="5" t="e">
        <f aca="false">MATCH(G250,#REF!)</f>
        <v>#VALUE!</v>
      </c>
      <c r="G250" s="169" t="n">
        <f aca="false">IF(I249=0,Model_Start_Date,I249+1)</f>
        <v>46447</v>
      </c>
      <c r="H250" s="1"/>
      <c r="I250" s="169" t="n">
        <f aca="false">EOMONTH(G250,0)</f>
        <v>46477</v>
      </c>
      <c r="K250" s="15" t="s">
        <v>687</v>
      </c>
      <c r="L250" s="12"/>
      <c r="M250" s="170" t="n">
        <f aca="false">IF(AND(M$26&lt;=$G$224,$G250=Model_Start_Date),1,IF(AND(M$25&lt;=$G$224,M$26&lt;=$I$224,$G250=Model_Start_Date),1,IF(AND(M$25&lt;=$G$224,M$26&gt;=$G$224,$G250=Model_Start_Date),($I$224-M$25+1)/(M$26-M$25+1),IF(AND($G250&gt;=M$25,$I250&lt;=M$26),($I250-$G250+1)/(M$26-M$25+1),IF(AND($G250&lt;=M$25,$I250&gt;=M$26),1,IF(AND($G250&lt;=M$25,$I250&gt;=M$25),($I250-M$25+1)/(M$26-M$25+1),IF(AND($G250&lt;=M$26,$I250&gt;=M$26),(M$26-$G250+1)/(M$26-M$25+1),0)))))))</f>
        <v>0</v>
      </c>
      <c r="N250" s="170" t="n">
        <f aca="false">IF(AND(N$26&lt;=$G$224,$G250=Model_Start_Date),1,IF(AND(N$25&lt;=$G$224,N$26&lt;=$I$224,$G250=Model_Start_Date),1,IF(AND(N$25&lt;=$G$224,N$26&gt;=$G$224,$G250=Model_Start_Date),($I$224-N$25+1)/(N$26-N$25+1),IF(AND($G250&gt;=N$25,$I250&lt;=N$26),($I250-$G250+1)/(N$26-N$25+1),IF(AND($G250&lt;=N$25,$I250&gt;=N$26),1,IF(AND($G250&lt;=N$25,$I250&gt;=N$25),($I250-N$25+1)/(N$26-N$25+1),IF(AND($G250&lt;=N$26,$I250&gt;=N$26),(N$26-$G250+1)/(N$26-N$25+1),0)))))))</f>
        <v>0</v>
      </c>
      <c r="O250" s="170" t="n">
        <f aca="false">IF(AND(O$26&lt;=$G$224,$G250=Model_Start_Date),1,IF(AND(O$25&lt;=$G$224,O$26&lt;=$I$224,$G250=Model_Start_Date),1,IF(AND(O$25&lt;=$G$224,O$26&gt;=$G$224,$G250=Model_Start_Date),($I$224-O$25+1)/(O$26-O$25+1),IF(AND($G250&gt;=O$25,$I250&lt;=O$26),($I250-$G250+1)/(O$26-O$25+1),IF(AND($G250&lt;=O$25,$I250&gt;=O$26),1,IF(AND($G250&lt;=O$25,$I250&gt;=O$25),($I250-O$25+1)/(O$26-O$25+1),IF(AND($G250&lt;=O$26,$I250&gt;=O$26),(O$26-$G250+1)/(O$26-O$25+1),0)))))))</f>
        <v>0</v>
      </c>
      <c r="P250" s="170" t="n">
        <f aca="false">IF(AND(P$26&lt;=$G$224,$G250=Model_Start_Date),1,IF(AND(P$25&lt;=$G$224,P$26&lt;=$I$224,$G250=Model_Start_Date),1,IF(AND(P$25&lt;=$G$224,P$26&gt;=$G$224,$G250=Model_Start_Date),($I$224-P$25+1)/(P$26-P$25+1),IF(AND($G250&gt;=P$25,$I250&lt;=P$26),($I250-$G250+1)/(P$26-P$25+1),IF(AND($G250&lt;=P$25,$I250&gt;=P$26),1,IF(AND($G250&lt;=P$25,$I250&gt;=P$25),($I250-P$25+1)/(P$26-P$25+1),IF(AND($G250&lt;=P$26,$I250&gt;=P$26),(P$26-$G250+1)/(P$26-P$25+1),0)))))))</f>
        <v>0</v>
      </c>
    </row>
    <row r="251" customFormat="false" ht="13.8" hidden="false" customHeight="false" outlineLevel="0" collapsed="false">
      <c r="B251" s="1"/>
      <c r="D251" s="1"/>
      <c r="F251" s="5" t="e">
        <f aca="false">MATCH(G251,#REF!)</f>
        <v>#VALUE!</v>
      </c>
      <c r="G251" s="169" t="n">
        <f aca="false">IF(I250=0,Model_Start_Date,I250+1)</f>
        <v>46478</v>
      </c>
      <c r="H251" s="1"/>
      <c r="I251" s="169" t="n">
        <f aca="false">EOMONTH(G251,0)</f>
        <v>46507</v>
      </c>
      <c r="K251" s="15" t="s">
        <v>687</v>
      </c>
      <c r="L251" s="12"/>
      <c r="M251" s="170" t="n">
        <f aca="false">IF(AND(M$26&lt;=$G$224,$G251=Model_Start_Date),1,IF(AND(M$25&lt;=$G$224,M$26&lt;=$I$224,$G251=Model_Start_Date),1,IF(AND(M$25&lt;=$G$224,M$26&gt;=$G$224,$G251=Model_Start_Date),($I$224-M$25+1)/(M$26-M$25+1),IF(AND($G251&gt;=M$25,$I251&lt;=M$26),($I251-$G251+1)/(M$26-M$25+1),IF(AND($G251&lt;=M$25,$I251&gt;=M$26),1,IF(AND($G251&lt;=M$25,$I251&gt;=M$25),($I251-M$25+1)/(M$26-M$25+1),IF(AND($G251&lt;=M$26,$I251&gt;=M$26),(M$26-$G251+1)/(M$26-M$25+1),0)))))))</f>
        <v>0</v>
      </c>
      <c r="N251" s="170" t="n">
        <f aca="false">IF(AND(N$26&lt;=$G$224,$G251=Model_Start_Date),1,IF(AND(N$25&lt;=$G$224,N$26&lt;=$I$224,$G251=Model_Start_Date),1,IF(AND(N$25&lt;=$G$224,N$26&gt;=$G$224,$G251=Model_Start_Date),($I$224-N$25+1)/(N$26-N$25+1),IF(AND($G251&gt;=N$25,$I251&lt;=N$26),($I251-$G251+1)/(N$26-N$25+1),IF(AND($G251&lt;=N$25,$I251&gt;=N$26),1,IF(AND($G251&lt;=N$25,$I251&gt;=N$25),($I251-N$25+1)/(N$26-N$25+1),IF(AND($G251&lt;=N$26,$I251&gt;=N$26),(N$26-$G251+1)/(N$26-N$25+1),0)))))))</f>
        <v>0</v>
      </c>
      <c r="O251" s="170" t="n">
        <f aca="false">IF(AND(O$26&lt;=$G$224,$G251=Model_Start_Date),1,IF(AND(O$25&lt;=$G$224,O$26&lt;=$I$224,$G251=Model_Start_Date),1,IF(AND(O$25&lt;=$G$224,O$26&gt;=$G$224,$G251=Model_Start_Date),($I$224-O$25+1)/(O$26-O$25+1),IF(AND($G251&gt;=O$25,$I251&lt;=O$26),($I251-$G251+1)/(O$26-O$25+1),IF(AND($G251&lt;=O$25,$I251&gt;=O$26),1,IF(AND($G251&lt;=O$25,$I251&gt;=O$25),($I251-O$25+1)/(O$26-O$25+1),IF(AND($G251&lt;=O$26,$I251&gt;=O$26),(O$26-$G251+1)/(O$26-O$25+1),0)))))))</f>
        <v>0</v>
      </c>
      <c r="P251" s="170" t="n">
        <f aca="false">IF(AND(P$26&lt;=$G$224,$G251=Model_Start_Date),1,IF(AND(P$25&lt;=$G$224,P$26&lt;=$I$224,$G251=Model_Start_Date),1,IF(AND(P$25&lt;=$G$224,P$26&gt;=$G$224,$G251=Model_Start_Date),($I$224-P$25+1)/(P$26-P$25+1),IF(AND($G251&gt;=P$25,$I251&lt;=P$26),($I251-$G251+1)/(P$26-P$25+1),IF(AND($G251&lt;=P$25,$I251&gt;=P$26),1,IF(AND($G251&lt;=P$25,$I251&gt;=P$25),($I251-P$25+1)/(P$26-P$25+1),IF(AND($G251&lt;=P$26,$I251&gt;=P$26),(P$26-$G251+1)/(P$26-P$25+1),0)))))))</f>
        <v>0</v>
      </c>
    </row>
    <row r="252" customFormat="false" ht="13.8" hidden="false" customHeight="false" outlineLevel="0" collapsed="false">
      <c r="B252" s="1"/>
      <c r="D252" s="1"/>
      <c r="F252" s="5" t="e">
        <f aca="false">MATCH(G252,#REF!)</f>
        <v>#VALUE!</v>
      </c>
      <c r="G252" s="169" t="n">
        <f aca="false">IF(I251=0,Model_Start_Date,I251+1)</f>
        <v>46508</v>
      </c>
      <c r="H252" s="1"/>
      <c r="I252" s="169" t="n">
        <f aca="false">EOMONTH(G252,0)</f>
        <v>46538</v>
      </c>
      <c r="K252" s="15" t="s">
        <v>687</v>
      </c>
      <c r="L252" s="12"/>
      <c r="M252" s="170" t="n">
        <f aca="false">IF(AND(M$26&lt;=$G$224,$G252=Model_Start_Date),1,IF(AND(M$25&lt;=$G$224,M$26&lt;=$I$224,$G252=Model_Start_Date),1,IF(AND(M$25&lt;=$G$224,M$26&gt;=$G$224,$G252=Model_Start_Date),($I$224-M$25+1)/(M$26-M$25+1),IF(AND($G252&gt;=M$25,$I252&lt;=M$26),($I252-$G252+1)/(M$26-M$25+1),IF(AND($G252&lt;=M$25,$I252&gt;=M$26),1,IF(AND($G252&lt;=M$25,$I252&gt;=M$25),($I252-M$25+1)/(M$26-M$25+1),IF(AND($G252&lt;=M$26,$I252&gt;=M$26),(M$26-$G252+1)/(M$26-M$25+1),0)))))))</f>
        <v>0</v>
      </c>
      <c r="N252" s="170" t="n">
        <f aca="false">IF(AND(N$26&lt;=$G$224,$G252=Model_Start_Date),1,IF(AND(N$25&lt;=$G$224,N$26&lt;=$I$224,$G252=Model_Start_Date),1,IF(AND(N$25&lt;=$G$224,N$26&gt;=$G$224,$G252=Model_Start_Date),($I$224-N$25+1)/(N$26-N$25+1),IF(AND($G252&gt;=N$25,$I252&lt;=N$26),($I252-$G252+1)/(N$26-N$25+1),IF(AND($G252&lt;=N$25,$I252&gt;=N$26),1,IF(AND($G252&lt;=N$25,$I252&gt;=N$25),($I252-N$25+1)/(N$26-N$25+1),IF(AND($G252&lt;=N$26,$I252&gt;=N$26),(N$26-$G252+1)/(N$26-N$25+1),0)))))))</f>
        <v>0</v>
      </c>
      <c r="O252" s="170" t="n">
        <f aca="false">IF(AND(O$26&lt;=$G$224,$G252=Model_Start_Date),1,IF(AND(O$25&lt;=$G$224,O$26&lt;=$I$224,$G252=Model_Start_Date),1,IF(AND(O$25&lt;=$G$224,O$26&gt;=$G$224,$G252=Model_Start_Date),($I$224-O$25+1)/(O$26-O$25+1),IF(AND($G252&gt;=O$25,$I252&lt;=O$26),($I252-$G252+1)/(O$26-O$25+1),IF(AND($G252&lt;=O$25,$I252&gt;=O$26),1,IF(AND($G252&lt;=O$25,$I252&gt;=O$25),($I252-O$25+1)/(O$26-O$25+1),IF(AND($G252&lt;=O$26,$I252&gt;=O$26),(O$26-$G252+1)/(O$26-O$25+1),0)))))))</f>
        <v>0</v>
      </c>
      <c r="P252" s="170" t="n">
        <f aca="false">IF(AND(P$26&lt;=$G$224,$G252=Model_Start_Date),1,IF(AND(P$25&lt;=$G$224,P$26&lt;=$I$224,$G252=Model_Start_Date),1,IF(AND(P$25&lt;=$G$224,P$26&gt;=$G$224,$G252=Model_Start_Date),($I$224-P$25+1)/(P$26-P$25+1),IF(AND($G252&gt;=P$25,$I252&lt;=P$26),($I252-$G252+1)/(P$26-P$25+1),IF(AND($G252&lt;=P$25,$I252&gt;=P$26),1,IF(AND($G252&lt;=P$25,$I252&gt;=P$25),($I252-P$25+1)/(P$26-P$25+1),IF(AND($G252&lt;=P$26,$I252&gt;=P$26),(P$26-$G252+1)/(P$26-P$25+1),0)))))))</f>
        <v>0</v>
      </c>
    </row>
    <row r="253" customFormat="false" ht="13.8" hidden="false" customHeight="false" outlineLevel="0" collapsed="false">
      <c r="B253" s="1"/>
      <c r="D253" s="1"/>
      <c r="F253" s="5" t="e">
        <f aca="false">MATCH(G253,#REF!)</f>
        <v>#VALUE!</v>
      </c>
      <c r="G253" s="169" t="n">
        <f aca="false">IF(I252=0,Model_Start_Date,I252+1)</f>
        <v>46539</v>
      </c>
      <c r="H253" s="1"/>
      <c r="I253" s="169" t="n">
        <f aca="false">EOMONTH(G253,0)</f>
        <v>46568</v>
      </c>
      <c r="K253" s="15" t="s">
        <v>687</v>
      </c>
      <c r="L253" s="12"/>
      <c r="M253" s="170" t="n">
        <f aca="false">IF(AND(M$26&lt;=$G$224,$G253=Model_Start_Date),1,IF(AND(M$25&lt;=$G$224,M$26&lt;=$I$224,$G253=Model_Start_Date),1,IF(AND(M$25&lt;=$G$224,M$26&gt;=$G$224,$G253=Model_Start_Date),($I$224-M$25+1)/(M$26-M$25+1),IF(AND($G253&gt;=M$25,$I253&lt;=M$26),($I253-$G253+1)/(M$26-M$25+1),IF(AND($G253&lt;=M$25,$I253&gt;=M$26),1,IF(AND($G253&lt;=M$25,$I253&gt;=M$25),($I253-M$25+1)/(M$26-M$25+1),IF(AND($G253&lt;=M$26,$I253&gt;=M$26),(M$26-$G253+1)/(M$26-M$25+1),0)))))))</f>
        <v>0</v>
      </c>
      <c r="N253" s="170" t="n">
        <f aca="false">IF(AND(N$26&lt;=$G$224,$G253=Model_Start_Date),1,IF(AND(N$25&lt;=$G$224,N$26&lt;=$I$224,$G253=Model_Start_Date),1,IF(AND(N$25&lt;=$G$224,N$26&gt;=$G$224,$G253=Model_Start_Date),($I$224-N$25+1)/(N$26-N$25+1),IF(AND($G253&gt;=N$25,$I253&lt;=N$26),($I253-$G253+1)/(N$26-N$25+1),IF(AND($G253&lt;=N$25,$I253&gt;=N$26),1,IF(AND($G253&lt;=N$25,$I253&gt;=N$25),($I253-N$25+1)/(N$26-N$25+1),IF(AND($G253&lt;=N$26,$I253&gt;=N$26),(N$26-$G253+1)/(N$26-N$25+1),0)))))))</f>
        <v>0</v>
      </c>
      <c r="O253" s="170" t="n">
        <f aca="false">IF(AND(O$26&lt;=$G$224,$G253=Model_Start_Date),1,IF(AND(O$25&lt;=$G$224,O$26&lt;=$I$224,$G253=Model_Start_Date),1,IF(AND(O$25&lt;=$G$224,O$26&gt;=$G$224,$G253=Model_Start_Date),($I$224-O$25+1)/(O$26-O$25+1),IF(AND($G253&gt;=O$25,$I253&lt;=O$26),($I253-$G253+1)/(O$26-O$25+1),IF(AND($G253&lt;=O$25,$I253&gt;=O$26),1,IF(AND($G253&lt;=O$25,$I253&gt;=O$25),($I253-O$25+1)/(O$26-O$25+1),IF(AND($G253&lt;=O$26,$I253&gt;=O$26),(O$26-$G253+1)/(O$26-O$25+1),0)))))))</f>
        <v>0</v>
      </c>
      <c r="P253" s="170" t="n">
        <f aca="false">IF(AND(P$26&lt;=$G$224,$G253=Model_Start_Date),1,IF(AND(P$25&lt;=$G$224,P$26&lt;=$I$224,$G253=Model_Start_Date),1,IF(AND(P$25&lt;=$G$224,P$26&gt;=$G$224,$G253=Model_Start_Date),($I$224-P$25+1)/(P$26-P$25+1),IF(AND($G253&gt;=P$25,$I253&lt;=P$26),($I253-$G253+1)/(P$26-P$25+1),IF(AND($G253&lt;=P$25,$I253&gt;=P$26),1,IF(AND($G253&lt;=P$25,$I253&gt;=P$25),($I253-P$25+1)/(P$26-P$25+1),IF(AND($G253&lt;=P$26,$I253&gt;=P$26),(P$26-$G253+1)/(P$26-P$25+1),0)))))))</f>
        <v>0</v>
      </c>
    </row>
    <row r="254" customFormat="false" ht="13.8" hidden="false" customHeight="false" outlineLevel="0" collapsed="false">
      <c r="B254" s="1"/>
      <c r="D254" s="1"/>
      <c r="F254" s="5" t="e">
        <f aca="false">MATCH(G254,#REF!)</f>
        <v>#VALUE!</v>
      </c>
      <c r="G254" s="169" t="n">
        <f aca="false">IF(I253=0,Model_Start_Date,I253+1)</f>
        <v>46569</v>
      </c>
      <c r="H254" s="1"/>
      <c r="I254" s="169" t="n">
        <f aca="false">EOMONTH(G254,0)</f>
        <v>46599</v>
      </c>
      <c r="K254" s="15" t="s">
        <v>687</v>
      </c>
      <c r="L254" s="12"/>
      <c r="M254" s="170" t="n">
        <f aca="false">IF(AND(M$26&lt;=$G$224,$G254=Model_Start_Date),1,IF(AND(M$25&lt;=$G$224,M$26&lt;=$I$224,$G254=Model_Start_Date),1,IF(AND(M$25&lt;=$G$224,M$26&gt;=$G$224,$G254=Model_Start_Date),($I$224-M$25+1)/(M$26-M$25+1),IF(AND($G254&gt;=M$25,$I254&lt;=M$26),($I254-$G254+1)/(M$26-M$25+1),IF(AND($G254&lt;=M$25,$I254&gt;=M$26),1,IF(AND($G254&lt;=M$25,$I254&gt;=M$25),($I254-M$25+1)/(M$26-M$25+1),IF(AND($G254&lt;=M$26,$I254&gt;=M$26),(M$26-$G254+1)/(M$26-M$25+1),0)))))))</f>
        <v>0</v>
      </c>
      <c r="N254" s="170" t="n">
        <f aca="false">IF(AND(N$26&lt;=$G$224,$G254=Model_Start_Date),1,IF(AND(N$25&lt;=$G$224,N$26&lt;=$I$224,$G254=Model_Start_Date),1,IF(AND(N$25&lt;=$G$224,N$26&gt;=$G$224,$G254=Model_Start_Date),($I$224-N$25+1)/(N$26-N$25+1),IF(AND($G254&gt;=N$25,$I254&lt;=N$26),($I254-$G254+1)/(N$26-N$25+1),IF(AND($G254&lt;=N$25,$I254&gt;=N$26),1,IF(AND($G254&lt;=N$25,$I254&gt;=N$25),($I254-N$25+1)/(N$26-N$25+1),IF(AND($G254&lt;=N$26,$I254&gt;=N$26),(N$26-$G254+1)/(N$26-N$25+1),0)))))))</f>
        <v>0</v>
      </c>
      <c r="O254" s="170" t="n">
        <f aca="false">IF(AND(O$26&lt;=$G$224,$G254=Model_Start_Date),1,IF(AND(O$25&lt;=$G$224,O$26&lt;=$I$224,$G254=Model_Start_Date),1,IF(AND(O$25&lt;=$G$224,O$26&gt;=$G$224,$G254=Model_Start_Date),($I$224-O$25+1)/(O$26-O$25+1),IF(AND($G254&gt;=O$25,$I254&lt;=O$26),($I254-$G254+1)/(O$26-O$25+1),IF(AND($G254&lt;=O$25,$I254&gt;=O$26),1,IF(AND($G254&lt;=O$25,$I254&gt;=O$25),($I254-O$25+1)/(O$26-O$25+1),IF(AND($G254&lt;=O$26,$I254&gt;=O$26),(O$26-$G254+1)/(O$26-O$25+1),0)))))))</f>
        <v>0</v>
      </c>
      <c r="P254" s="170" t="n">
        <f aca="false">IF(AND(P$26&lt;=$G$224,$G254=Model_Start_Date),1,IF(AND(P$25&lt;=$G$224,P$26&lt;=$I$224,$G254=Model_Start_Date),1,IF(AND(P$25&lt;=$G$224,P$26&gt;=$G$224,$G254=Model_Start_Date),($I$224-P$25+1)/(P$26-P$25+1),IF(AND($G254&gt;=P$25,$I254&lt;=P$26),($I254-$G254+1)/(P$26-P$25+1),IF(AND($G254&lt;=P$25,$I254&gt;=P$26),1,IF(AND($G254&lt;=P$25,$I254&gt;=P$25),($I254-P$25+1)/(P$26-P$25+1),IF(AND($G254&lt;=P$26,$I254&gt;=P$26),(P$26-$G254+1)/(P$26-P$25+1),0)))))))</f>
        <v>0</v>
      </c>
    </row>
    <row r="255" customFormat="false" ht="13.8" hidden="false" customHeight="false" outlineLevel="0" collapsed="false">
      <c r="B255" s="1"/>
      <c r="D255" s="1"/>
      <c r="F255" s="5" t="e">
        <f aca="false">MATCH(G255,#REF!)</f>
        <v>#VALUE!</v>
      </c>
      <c r="G255" s="169" t="n">
        <f aca="false">IF(I254=0,Model_Start_Date,I254+1)</f>
        <v>46600</v>
      </c>
      <c r="H255" s="1"/>
      <c r="I255" s="169" t="n">
        <f aca="false">EOMONTH(G255,0)</f>
        <v>46630</v>
      </c>
      <c r="K255" s="15" t="s">
        <v>687</v>
      </c>
      <c r="L255" s="12"/>
      <c r="M255" s="170" t="n">
        <f aca="false">IF(AND(M$26&lt;=$G$224,$G255=Model_Start_Date),1,IF(AND(M$25&lt;=$G$224,M$26&lt;=$I$224,$G255=Model_Start_Date),1,IF(AND(M$25&lt;=$G$224,M$26&gt;=$G$224,$G255=Model_Start_Date),($I$224-M$25+1)/(M$26-M$25+1),IF(AND($G255&gt;=M$25,$I255&lt;=M$26),($I255-$G255+1)/(M$26-M$25+1),IF(AND($G255&lt;=M$25,$I255&gt;=M$26),1,IF(AND($G255&lt;=M$25,$I255&gt;=M$25),($I255-M$25+1)/(M$26-M$25+1),IF(AND($G255&lt;=M$26,$I255&gt;=M$26),(M$26-$G255+1)/(M$26-M$25+1),0)))))))</f>
        <v>0</v>
      </c>
      <c r="N255" s="170" t="n">
        <f aca="false">IF(AND(N$26&lt;=$G$224,$G255=Model_Start_Date),1,IF(AND(N$25&lt;=$G$224,N$26&lt;=$I$224,$G255=Model_Start_Date),1,IF(AND(N$25&lt;=$G$224,N$26&gt;=$G$224,$G255=Model_Start_Date),($I$224-N$25+1)/(N$26-N$25+1),IF(AND($G255&gt;=N$25,$I255&lt;=N$26),($I255-$G255+1)/(N$26-N$25+1),IF(AND($G255&lt;=N$25,$I255&gt;=N$26),1,IF(AND($G255&lt;=N$25,$I255&gt;=N$25),($I255-N$25+1)/(N$26-N$25+1),IF(AND($G255&lt;=N$26,$I255&gt;=N$26),(N$26-$G255+1)/(N$26-N$25+1),0)))))))</f>
        <v>0</v>
      </c>
      <c r="O255" s="170" t="n">
        <f aca="false">IF(AND(O$26&lt;=$G$224,$G255=Model_Start_Date),1,IF(AND(O$25&lt;=$G$224,O$26&lt;=$I$224,$G255=Model_Start_Date),1,IF(AND(O$25&lt;=$G$224,O$26&gt;=$G$224,$G255=Model_Start_Date),($I$224-O$25+1)/(O$26-O$25+1),IF(AND($G255&gt;=O$25,$I255&lt;=O$26),($I255-$G255+1)/(O$26-O$25+1),IF(AND($G255&lt;=O$25,$I255&gt;=O$26),1,IF(AND($G255&lt;=O$25,$I255&gt;=O$25),($I255-O$25+1)/(O$26-O$25+1),IF(AND($G255&lt;=O$26,$I255&gt;=O$26),(O$26-$G255+1)/(O$26-O$25+1),0)))))))</f>
        <v>0</v>
      </c>
      <c r="P255" s="170" t="n">
        <f aca="false">IF(AND(P$26&lt;=$G$224,$G255=Model_Start_Date),1,IF(AND(P$25&lt;=$G$224,P$26&lt;=$I$224,$G255=Model_Start_Date),1,IF(AND(P$25&lt;=$G$224,P$26&gt;=$G$224,$G255=Model_Start_Date),($I$224-P$25+1)/(P$26-P$25+1),IF(AND($G255&gt;=P$25,$I255&lt;=P$26),($I255-$G255+1)/(P$26-P$25+1),IF(AND($G255&lt;=P$25,$I255&gt;=P$26),1,IF(AND($G255&lt;=P$25,$I255&gt;=P$25),($I255-P$25+1)/(P$26-P$25+1),IF(AND($G255&lt;=P$26,$I255&gt;=P$26),(P$26-$G255+1)/(P$26-P$25+1),0)))))))</f>
        <v>0</v>
      </c>
    </row>
    <row r="256" customFormat="false" ht="13.8" hidden="false" customHeight="false" outlineLevel="0" collapsed="false">
      <c r="B256" s="1"/>
      <c r="D256" s="1"/>
      <c r="F256" s="5" t="e">
        <f aca="false">MATCH(G256,#REF!)</f>
        <v>#VALUE!</v>
      </c>
      <c r="G256" s="169" t="n">
        <f aca="false">IF(I255=0,Model_Start_Date,I255+1)</f>
        <v>46631</v>
      </c>
      <c r="H256" s="1"/>
      <c r="I256" s="169" t="n">
        <f aca="false">EOMONTH(G256,0)</f>
        <v>46660</v>
      </c>
      <c r="K256" s="15" t="s">
        <v>687</v>
      </c>
      <c r="L256" s="12"/>
      <c r="M256" s="170" t="n">
        <f aca="false">IF(AND(M$26&lt;=$G$224,$G256=Model_Start_Date),1,IF(AND(M$25&lt;=$G$224,M$26&lt;=$I$224,$G256=Model_Start_Date),1,IF(AND(M$25&lt;=$G$224,M$26&gt;=$G$224,$G256=Model_Start_Date),($I$224-M$25+1)/(M$26-M$25+1),IF(AND($G256&gt;=M$25,$I256&lt;=M$26),($I256-$G256+1)/(M$26-M$25+1),IF(AND($G256&lt;=M$25,$I256&gt;=M$26),1,IF(AND($G256&lt;=M$25,$I256&gt;=M$25),($I256-M$25+1)/(M$26-M$25+1),IF(AND($G256&lt;=M$26,$I256&gt;=M$26),(M$26-$G256+1)/(M$26-M$25+1),0)))))))</f>
        <v>0</v>
      </c>
      <c r="N256" s="170" t="n">
        <f aca="false">IF(AND(N$26&lt;=$G$224,$G256=Model_Start_Date),1,IF(AND(N$25&lt;=$G$224,N$26&lt;=$I$224,$G256=Model_Start_Date),1,IF(AND(N$25&lt;=$G$224,N$26&gt;=$G$224,$G256=Model_Start_Date),($I$224-N$25+1)/(N$26-N$25+1),IF(AND($G256&gt;=N$25,$I256&lt;=N$26),($I256-$G256+1)/(N$26-N$25+1),IF(AND($G256&lt;=N$25,$I256&gt;=N$26),1,IF(AND($G256&lt;=N$25,$I256&gt;=N$25),($I256-N$25+1)/(N$26-N$25+1),IF(AND($G256&lt;=N$26,$I256&gt;=N$26),(N$26-$G256+1)/(N$26-N$25+1),0)))))))</f>
        <v>0</v>
      </c>
      <c r="O256" s="170" t="n">
        <f aca="false">IF(AND(O$26&lt;=$G$224,$G256=Model_Start_Date),1,IF(AND(O$25&lt;=$G$224,O$26&lt;=$I$224,$G256=Model_Start_Date),1,IF(AND(O$25&lt;=$G$224,O$26&gt;=$G$224,$G256=Model_Start_Date),($I$224-O$25+1)/(O$26-O$25+1),IF(AND($G256&gt;=O$25,$I256&lt;=O$26),($I256-$G256+1)/(O$26-O$25+1),IF(AND($G256&lt;=O$25,$I256&gt;=O$26),1,IF(AND($G256&lt;=O$25,$I256&gt;=O$25),($I256-O$25+1)/(O$26-O$25+1),IF(AND($G256&lt;=O$26,$I256&gt;=O$26),(O$26-$G256+1)/(O$26-O$25+1),0)))))))</f>
        <v>0</v>
      </c>
      <c r="P256" s="170" t="n">
        <f aca="false">IF(AND(P$26&lt;=$G$224,$G256=Model_Start_Date),1,IF(AND(P$25&lt;=$G$224,P$26&lt;=$I$224,$G256=Model_Start_Date),1,IF(AND(P$25&lt;=$G$224,P$26&gt;=$G$224,$G256=Model_Start_Date),($I$224-P$25+1)/(P$26-P$25+1),IF(AND($G256&gt;=P$25,$I256&lt;=P$26),($I256-$G256+1)/(P$26-P$25+1),IF(AND($G256&lt;=P$25,$I256&gt;=P$26),1,IF(AND($G256&lt;=P$25,$I256&gt;=P$25),($I256-P$25+1)/(P$26-P$25+1),IF(AND($G256&lt;=P$26,$I256&gt;=P$26),(P$26-$G256+1)/(P$26-P$25+1),0)))))))</f>
        <v>0</v>
      </c>
    </row>
    <row r="257" customFormat="false" ht="13.8" hidden="false" customHeight="false" outlineLevel="0" collapsed="false">
      <c r="B257" s="1"/>
      <c r="D257" s="1"/>
      <c r="F257" s="5" t="e">
        <f aca="false">MATCH(G257,#REF!)</f>
        <v>#VALUE!</v>
      </c>
      <c r="G257" s="169" t="n">
        <f aca="false">IF(I256=0,Model_Start_Date,I256+1)</f>
        <v>46661</v>
      </c>
      <c r="H257" s="1"/>
      <c r="I257" s="169" t="n">
        <f aca="false">EOMONTH(G257,0)</f>
        <v>46691</v>
      </c>
      <c r="K257" s="15" t="s">
        <v>687</v>
      </c>
      <c r="L257" s="12"/>
      <c r="M257" s="170" t="n">
        <f aca="false">IF(AND(M$26&lt;=$G$224,$G257=Model_Start_Date),1,IF(AND(M$25&lt;=$G$224,M$26&lt;=$I$224,$G257=Model_Start_Date),1,IF(AND(M$25&lt;=$G$224,M$26&gt;=$G$224,$G257=Model_Start_Date),($I$224-M$25+1)/(M$26-M$25+1),IF(AND($G257&gt;=M$25,$I257&lt;=M$26),($I257-$G257+1)/(M$26-M$25+1),IF(AND($G257&lt;=M$25,$I257&gt;=M$26),1,IF(AND($G257&lt;=M$25,$I257&gt;=M$25),($I257-M$25+1)/(M$26-M$25+1),IF(AND($G257&lt;=M$26,$I257&gt;=M$26),(M$26-$G257+1)/(M$26-M$25+1),0)))))))</f>
        <v>0</v>
      </c>
      <c r="N257" s="170" t="n">
        <f aca="false">IF(AND(N$26&lt;=$G$224,$G257=Model_Start_Date),1,IF(AND(N$25&lt;=$G$224,N$26&lt;=$I$224,$G257=Model_Start_Date),1,IF(AND(N$25&lt;=$G$224,N$26&gt;=$G$224,$G257=Model_Start_Date),($I$224-N$25+1)/(N$26-N$25+1),IF(AND($G257&gt;=N$25,$I257&lt;=N$26),($I257-$G257+1)/(N$26-N$25+1),IF(AND($G257&lt;=N$25,$I257&gt;=N$26),1,IF(AND($G257&lt;=N$25,$I257&gt;=N$25),($I257-N$25+1)/(N$26-N$25+1),IF(AND($G257&lt;=N$26,$I257&gt;=N$26),(N$26-$G257+1)/(N$26-N$25+1),0)))))))</f>
        <v>0</v>
      </c>
      <c r="O257" s="170" t="n">
        <f aca="false">IF(AND(O$26&lt;=$G$224,$G257=Model_Start_Date),1,IF(AND(O$25&lt;=$G$224,O$26&lt;=$I$224,$G257=Model_Start_Date),1,IF(AND(O$25&lt;=$G$224,O$26&gt;=$G$224,$G257=Model_Start_Date),($I$224-O$25+1)/(O$26-O$25+1),IF(AND($G257&gt;=O$25,$I257&lt;=O$26),($I257-$G257+1)/(O$26-O$25+1),IF(AND($G257&lt;=O$25,$I257&gt;=O$26),1,IF(AND($G257&lt;=O$25,$I257&gt;=O$25),($I257-O$25+1)/(O$26-O$25+1),IF(AND($G257&lt;=O$26,$I257&gt;=O$26),(O$26-$G257+1)/(O$26-O$25+1),0)))))))</f>
        <v>0</v>
      </c>
      <c r="P257" s="170" t="n">
        <f aca="false">IF(AND(P$26&lt;=$G$224,$G257=Model_Start_Date),1,IF(AND(P$25&lt;=$G$224,P$26&lt;=$I$224,$G257=Model_Start_Date),1,IF(AND(P$25&lt;=$G$224,P$26&gt;=$G$224,$G257=Model_Start_Date),($I$224-P$25+1)/(P$26-P$25+1),IF(AND($G257&gt;=P$25,$I257&lt;=P$26),($I257-$G257+1)/(P$26-P$25+1),IF(AND($G257&lt;=P$25,$I257&gt;=P$26),1,IF(AND($G257&lt;=P$25,$I257&gt;=P$25),($I257-P$25+1)/(P$26-P$25+1),IF(AND($G257&lt;=P$26,$I257&gt;=P$26),(P$26-$G257+1)/(P$26-P$25+1),0)))))))</f>
        <v>0</v>
      </c>
    </row>
    <row r="258" customFormat="false" ht="13.8" hidden="false" customHeight="false" outlineLevel="0" collapsed="false">
      <c r="B258" s="1"/>
      <c r="D258" s="1"/>
      <c r="F258" s="5" t="e">
        <f aca="false">MATCH(G258,#REF!)</f>
        <v>#VALUE!</v>
      </c>
      <c r="G258" s="169" t="n">
        <f aca="false">IF(I257=0,Model_Start_Date,I257+1)</f>
        <v>46692</v>
      </c>
      <c r="H258" s="1"/>
      <c r="I258" s="169" t="n">
        <f aca="false">EOMONTH(G258,0)</f>
        <v>46721</v>
      </c>
      <c r="K258" s="15" t="s">
        <v>687</v>
      </c>
      <c r="L258" s="12"/>
      <c r="M258" s="170" t="n">
        <f aca="false">IF(AND(M$26&lt;=$G$224,$G258=Model_Start_Date),1,IF(AND(M$25&lt;=$G$224,M$26&lt;=$I$224,$G258=Model_Start_Date),1,IF(AND(M$25&lt;=$G$224,M$26&gt;=$G$224,$G258=Model_Start_Date),($I$224-M$25+1)/(M$26-M$25+1),IF(AND($G258&gt;=M$25,$I258&lt;=M$26),($I258-$G258+1)/(M$26-M$25+1),IF(AND($G258&lt;=M$25,$I258&gt;=M$26),1,IF(AND($G258&lt;=M$25,$I258&gt;=M$25),($I258-M$25+1)/(M$26-M$25+1),IF(AND($G258&lt;=M$26,$I258&gt;=M$26),(M$26-$G258+1)/(M$26-M$25+1),0)))))))</f>
        <v>0</v>
      </c>
      <c r="N258" s="170" t="n">
        <f aca="false">IF(AND(N$26&lt;=$G$224,$G258=Model_Start_Date),1,IF(AND(N$25&lt;=$G$224,N$26&lt;=$I$224,$G258=Model_Start_Date),1,IF(AND(N$25&lt;=$G$224,N$26&gt;=$G$224,$G258=Model_Start_Date),($I$224-N$25+1)/(N$26-N$25+1),IF(AND($G258&gt;=N$25,$I258&lt;=N$26),($I258-$G258+1)/(N$26-N$25+1),IF(AND($G258&lt;=N$25,$I258&gt;=N$26),1,IF(AND($G258&lt;=N$25,$I258&gt;=N$25),($I258-N$25+1)/(N$26-N$25+1),IF(AND($G258&lt;=N$26,$I258&gt;=N$26),(N$26-$G258+1)/(N$26-N$25+1),0)))))))</f>
        <v>0</v>
      </c>
      <c r="O258" s="170" t="n">
        <f aca="false">IF(AND(O$26&lt;=$G$224,$G258=Model_Start_Date),1,IF(AND(O$25&lt;=$G$224,O$26&lt;=$I$224,$G258=Model_Start_Date),1,IF(AND(O$25&lt;=$G$224,O$26&gt;=$G$224,$G258=Model_Start_Date),($I$224-O$25+1)/(O$26-O$25+1),IF(AND($G258&gt;=O$25,$I258&lt;=O$26),($I258-$G258+1)/(O$26-O$25+1),IF(AND($G258&lt;=O$25,$I258&gt;=O$26),1,IF(AND($G258&lt;=O$25,$I258&gt;=O$25),($I258-O$25+1)/(O$26-O$25+1),IF(AND($G258&lt;=O$26,$I258&gt;=O$26),(O$26-$G258+1)/(O$26-O$25+1),0)))))))</f>
        <v>0</v>
      </c>
      <c r="P258" s="170" t="n">
        <f aca="false">IF(AND(P$26&lt;=$G$224,$G258=Model_Start_Date),1,IF(AND(P$25&lt;=$G$224,P$26&lt;=$I$224,$G258=Model_Start_Date),1,IF(AND(P$25&lt;=$G$224,P$26&gt;=$G$224,$G258=Model_Start_Date),($I$224-P$25+1)/(P$26-P$25+1),IF(AND($G258&gt;=P$25,$I258&lt;=P$26),($I258-$G258+1)/(P$26-P$25+1),IF(AND($G258&lt;=P$25,$I258&gt;=P$26),1,IF(AND($G258&lt;=P$25,$I258&gt;=P$25),($I258-P$25+1)/(P$26-P$25+1),IF(AND($G258&lt;=P$26,$I258&gt;=P$26),(P$26-$G258+1)/(P$26-P$25+1),0)))))))</f>
        <v>0</v>
      </c>
    </row>
    <row r="259" customFormat="false" ht="13.8" hidden="false" customHeight="false" outlineLevel="0" collapsed="false">
      <c r="B259" s="1"/>
      <c r="D259" s="1"/>
      <c r="F259" s="5" t="e">
        <f aca="false">MATCH(G259,#REF!)</f>
        <v>#VALUE!</v>
      </c>
      <c r="G259" s="169" t="n">
        <f aca="false">IF(I258=0,Model_Start_Date,I258+1)</f>
        <v>46722</v>
      </c>
      <c r="H259" s="1"/>
      <c r="I259" s="169" t="n">
        <f aca="false">EOMONTH(G259,0)</f>
        <v>46752</v>
      </c>
      <c r="K259" s="15" t="s">
        <v>687</v>
      </c>
      <c r="L259" s="12"/>
      <c r="M259" s="170" t="n">
        <f aca="false">IF(AND(M$26&lt;=$G$224,$G259=Model_Start_Date),1,IF(AND(M$25&lt;=$G$224,M$26&lt;=$I$224,$G259=Model_Start_Date),1,IF(AND(M$25&lt;=$G$224,M$26&gt;=$G$224,$G259=Model_Start_Date),($I$224-M$25+1)/(M$26-M$25+1),IF(AND($G259&gt;=M$25,$I259&lt;=M$26),($I259-$G259+1)/(M$26-M$25+1),IF(AND($G259&lt;=M$25,$I259&gt;=M$26),1,IF(AND($G259&lt;=M$25,$I259&gt;=M$25),($I259-M$25+1)/(M$26-M$25+1),IF(AND($G259&lt;=M$26,$I259&gt;=M$26),(M$26-$G259+1)/(M$26-M$25+1),0)))))))</f>
        <v>0</v>
      </c>
      <c r="N259" s="170" t="n">
        <f aca="false">IF(AND(N$26&lt;=$G$224,$G259=Model_Start_Date),1,IF(AND(N$25&lt;=$G$224,N$26&lt;=$I$224,$G259=Model_Start_Date),1,IF(AND(N$25&lt;=$G$224,N$26&gt;=$G$224,$G259=Model_Start_Date),($I$224-N$25+1)/(N$26-N$25+1),IF(AND($G259&gt;=N$25,$I259&lt;=N$26),($I259-$G259+1)/(N$26-N$25+1),IF(AND($G259&lt;=N$25,$I259&gt;=N$26),1,IF(AND($G259&lt;=N$25,$I259&gt;=N$25),($I259-N$25+1)/(N$26-N$25+1),IF(AND($G259&lt;=N$26,$I259&gt;=N$26),(N$26-$G259+1)/(N$26-N$25+1),0)))))))</f>
        <v>0</v>
      </c>
      <c r="O259" s="170" t="n">
        <f aca="false">IF(AND(O$26&lt;=$G$224,$G259=Model_Start_Date),1,IF(AND(O$25&lt;=$G$224,O$26&lt;=$I$224,$G259=Model_Start_Date),1,IF(AND(O$25&lt;=$G$224,O$26&gt;=$G$224,$G259=Model_Start_Date),($I$224-O$25+1)/(O$26-O$25+1),IF(AND($G259&gt;=O$25,$I259&lt;=O$26),($I259-$G259+1)/(O$26-O$25+1),IF(AND($G259&lt;=O$25,$I259&gt;=O$26),1,IF(AND($G259&lt;=O$25,$I259&gt;=O$25),($I259-O$25+1)/(O$26-O$25+1),IF(AND($G259&lt;=O$26,$I259&gt;=O$26),(O$26-$G259+1)/(O$26-O$25+1),0)))))))</f>
        <v>0</v>
      </c>
      <c r="P259" s="170" t="n">
        <f aca="false">IF(AND(P$26&lt;=$G$224,$G259=Model_Start_Date),1,IF(AND(P$25&lt;=$G$224,P$26&lt;=$I$224,$G259=Model_Start_Date),1,IF(AND(P$25&lt;=$G$224,P$26&gt;=$G$224,$G259=Model_Start_Date),($I$224-P$25+1)/(P$26-P$25+1),IF(AND($G259&gt;=P$25,$I259&lt;=P$26),($I259-$G259+1)/(P$26-P$25+1),IF(AND($G259&lt;=P$25,$I259&gt;=P$26),1,IF(AND($G259&lt;=P$25,$I259&gt;=P$25),($I259-P$25+1)/(P$26-P$25+1),IF(AND($G259&lt;=P$26,$I259&gt;=P$26),(P$26-$G259+1)/(P$26-P$25+1),0)))))))</f>
        <v>0</v>
      </c>
    </row>
    <row r="260" customFormat="false" ht="13.8" hidden="false" customHeight="false" outlineLevel="0" collapsed="false">
      <c r="B260" s="1"/>
      <c r="D260" s="1"/>
      <c r="F260" s="5" t="e">
        <f aca="false">MATCH(G260,#REF!)</f>
        <v>#VALUE!</v>
      </c>
      <c r="G260" s="169" t="n">
        <f aca="false">IF(I259=0,Model_Start_Date,I259+1)</f>
        <v>46753</v>
      </c>
      <c r="H260" s="1"/>
      <c r="I260" s="169" t="n">
        <f aca="false">EOMONTH(G260,0)</f>
        <v>46783</v>
      </c>
      <c r="K260" s="15" t="s">
        <v>687</v>
      </c>
      <c r="L260" s="12"/>
      <c r="M260" s="170" t="n">
        <f aca="false">IF(AND(M$26&lt;=$G$224,$G260=Model_Start_Date),1,IF(AND(M$25&lt;=$G$224,M$26&lt;=$I$224,$G260=Model_Start_Date),1,IF(AND(M$25&lt;=$G$224,M$26&gt;=$G$224,$G260=Model_Start_Date),($I$224-M$25+1)/(M$26-M$25+1),IF(AND($G260&gt;=M$25,$I260&lt;=M$26),($I260-$G260+1)/(M$26-M$25+1),IF(AND($G260&lt;=M$25,$I260&gt;=M$26),1,IF(AND($G260&lt;=M$25,$I260&gt;=M$25),($I260-M$25+1)/(M$26-M$25+1),IF(AND($G260&lt;=M$26,$I260&gt;=M$26),(M$26-$G260+1)/(M$26-M$25+1),0)))))))</f>
        <v>0</v>
      </c>
      <c r="N260" s="170" t="n">
        <f aca="false">IF(AND(N$26&lt;=$G$224,$G260=Model_Start_Date),1,IF(AND(N$25&lt;=$G$224,N$26&lt;=$I$224,$G260=Model_Start_Date),1,IF(AND(N$25&lt;=$G$224,N$26&gt;=$G$224,$G260=Model_Start_Date),($I$224-N$25+1)/(N$26-N$25+1),IF(AND($G260&gt;=N$25,$I260&lt;=N$26),($I260-$G260+1)/(N$26-N$25+1),IF(AND($G260&lt;=N$25,$I260&gt;=N$26),1,IF(AND($G260&lt;=N$25,$I260&gt;=N$25),($I260-N$25+1)/(N$26-N$25+1),IF(AND($G260&lt;=N$26,$I260&gt;=N$26),(N$26-$G260+1)/(N$26-N$25+1),0)))))))</f>
        <v>0</v>
      </c>
      <c r="O260" s="170" t="n">
        <f aca="false">IF(AND(O$26&lt;=$G$224,$G260=Model_Start_Date),1,IF(AND(O$25&lt;=$G$224,O$26&lt;=$I$224,$G260=Model_Start_Date),1,IF(AND(O$25&lt;=$G$224,O$26&gt;=$G$224,$G260=Model_Start_Date),($I$224-O$25+1)/(O$26-O$25+1),IF(AND($G260&gt;=O$25,$I260&lt;=O$26),($I260-$G260+1)/(O$26-O$25+1),IF(AND($G260&lt;=O$25,$I260&gt;=O$26),1,IF(AND($G260&lt;=O$25,$I260&gt;=O$25),($I260-O$25+1)/(O$26-O$25+1),IF(AND($G260&lt;=O$26,$I260&gt;=O$26),(O$26-$G260+1)/(O$26-O$25+1),0)))))))</f>
        <v>0</v>
      </c>
      <c r="P260" s="170" t="n">
        <f aca="false">IF(AND(P$26&lt;=$G$224,$G260=Model_Start_Date),1,IF(AND(P$25&lt;=$G$224,P$26&lt;=$I$224,$G260=Model_Start_Date),1,IF(AND(P$25&lt;=$G$224,P$26&gt;=$G$224,$G260=Model_Start_Date),($I$224-P$25+1)/(P$26-P$25+1),IF(AND($G260&gt;=P$25,$I260&lt;=P$26),($I260-$G260+1)/(P$26-P$25+1),IF(AND($G260&lt;=P$25,$I260&gt;=P$26),1,IF(AND($G260&lt;=P$25,$I260&gt;=P$25),($I260-P$25+1)/(P$26-P$25+1),IF(AND($G260&lt;=P$26,$I260&gt;=P$26),(P$26-$G260+1)/(P$26-P$25+1),0)))))))</f>
        <v>0</v>
      </c>
    </row>
    <row r="261" customFormat="false" ht="13.8" hidden="false" customHeight="false" outlineLevel="0" collapsed="false">
      <c r="B261" s="1"/>
      <c r="D261" s="1"/>
      <c r="F261" s="5" t="e">
        <f aca="false">MATCH(G261,#REF!)</f>
        <v>#VALUE!</v>
      </c>
      <c r="G261" s="169" t="n">
        <f aca="false">IF(I260=0,Model_Start_Date,I260+1)</f>
        <v>46784</v>
      </c>
      <c r="H261" s="1"/>
      <c r="I261" s="169" t="n">
        <f aca="false">EOMONTH(G261,0)</f>
        <v>46812</v>
      </c>
      <c r="K261" s="15" t="s">
        <v>687</v>
      </c>
      <c r="L261" s="12"/>
      <c r="M261" s="170" t="n">
        <f aca="false">IF(AND(M$26&lt;=$G$224,$G261=Model_Start_Date),1,IF(AND(M$25&lt;=$G$224,M$26&lt;=$I$224,$G261=Model_Start_Date),1,IF(AND(M$25&lt;=$G$224,M$26&gt;=$G$224,$G261=Model_Start_Date),($I$224-M$25+1)/(M$26-M$25+1),IF(AND($G261&gt;=M$25,$I261&lt;=M$26),($I261-$G261+1)/(M$26-M$25+1),IF(AND($G261&lt;=M$25,$I261&gt;=M$26),1,IF(AND($G261&lt;=M$25,$I261&gt;=M$25),($I261-M$25+1)/(M$26-M$25+1),IF(AND($G261&lt;=M$26,$I261&gt;=M$26),(M$26-$G261+1)/(M$26-M$25+1),0)))))))</f>
        <v>0</v>
      </c>
      <c r="N261" s="170" t="n">
        <f aca="false">IF(AND(N$26&lt;=$G$224,$G261=Model_Start_Date),1,IF(AND(N$25&lt;=$G$224,N$26&lt;=$I$224,$G261=Model_Start_Date),1,IF(AND(N$25&lt;=$G$224,N$26&gt;=$G$224,$G261=Model_Start_Date),($I$224-N$25+1)/(N$26-N$25+1),IF(AND($G261&gt;=N$25,$I261&lt;=N$26),($I261-$G261+1)/(N$26-N$25+1),IF(AND($G261&lt;=N$25,$I261&gt;=N$26),1,IF(AND($G261&lt;=N$25,$I261&gt;=N$25),($I261-N$25+1)/(N$26-N$25+1),IF(AND($G261&lt;=N$26,$I261&gt;=N$26),(N$26-$G261+1)/(N$26-N$25+1),0)))))))</f>
        <v>0</v>
      </c>
      <c r="O261" s="170" t="n">
        <f aca="false">IF(AND(O$26&lt;=$G$224,$G261=Model_Start_Date),1,IF(AND(O$25&lt;=$G$224,O$26&lt;=$I$224,$G261=Model_Start_Date),1,IF(AND(O$25&lt;=$G$224,O$26&gt;=$G$224,$G261=Model_Start_Date),($I$224-O$25+1)/(O$26-O$25+1),IF(AND($G261&gt;=O$25,$I261&lt;=O$26),($I261-$G261+1)/(O$26-O$25+1),IF(AND($G261&lt;=O$25,$I261&gt;=O$26),1,IF(AND($G261&lt;=O$25,$I261&gt;=O$25),($I261-O$25+1)/(O$26-O$25+1),IF(AND($G261&lt;=O$26,$I261&gt;=O$26),(O$26-$G261+1)/(O$26-O$25+1),0)))))))</f>
        <v>0</v>
      </c>
      <c r="P261" s="170" t="n">
        <f aca="false">IF(AND(P$26&lt;=$G$224,$G261=Model_Start_Date),1,IF(AND(P$25&lt;=$G$224,P$26&lt;=$I$224,$G261=Model_Start_Date),1,IF(AND(P$25&lt;=$G$224,P$26&gt;=$G$224,$G261=Model_Start_Date),($I$224-P$25+1)/(P$26-P$25+1),IF(AND($G261&gt;=P$25,$I261&lt;=P$26),($I261-$G261+1)/(P$26-P$25+1),IF(AND($G261&lt;=P$25,$I261&gt;=P$26),1,IF(AND($G261&lt;=P$25,$I261&gt;=P$25),($I261-P$25+1)/(P$26-P$25+1),IF(AND($G261&lt;=P$26,$I261&gt;=P$26),(P$26-$G261+1)/(P$26-P$25+1),0)))))))</f>
        <v>0</v>
      </c>
    </row>
    <row r="262" customFormat="false" ht="13.8" hidden="false" customHeight="false" outlineLevel="0" collapsed="false">
      <c r="B262" s="1"/>
      <c r="D262" s="1"/>
      <c r="F262" s="5" t="e">
        <f aca="false">MATCH(G262,#REF!)</f>
        <v>#VALUE!</v>
      </c>
      <c r="G262" s="169" t="n">
        <f aca="false">IF(I261=0,Model_Start_Date,I261+1)</f>
        <v>46813</v>
      </c>
      <c r="H262" s="1"/>
      <c r="I262" s="169" t="n">
        <f aca="false">EOMONTH(G262,0)</f>
        <v>46843</v>
      </c>
      <c r="K262" s="15" t="s">
        <v>687</v>
      </c>
      <c r="L262" s="12"/>
      <c r="M262" s="170" t="n">
        <f aca="false">IF(AND(M$26&lt;=$G$224,$G262=Model_Start_Date),1,IF(AND(M$25&lt;=$G$224,M$26&lt;=$I$224,$G262=Model_Start_Date),1,IF(AND(M$25&lt;=$G$224,M$26&gt;=$G$224,$G262=Model_Start_Date),($I$224-M$25+1)/(M$26-M$25+1),IF(AND($G262&gt;=M$25,$I262&lt;=M$26),($I262-$G262+1)/(M$26-M$25+1),IF(AND($G262&lt;=M$25,$I262&gt;=M$26),1,IF(AND($G262&lt;=M$25,$I262&gt;=M$25),($I262-M$25+1)/(M$26-M$25+1),IF(AND($G262&lt;=M$26,$I262&gt;=M$26),(M$26-$G262+1)/(M$26-M$25+1),0)))))))</f>
        <v>0</v>
      </c>
      <c r="N262" s="170" t="n">
        <f aca="false">IF(AND(N$26&lt;=$G$224,$G262=Model_Start_Date),1,IF(AND(N$25&lt;=$G$224,N$26&lt;=$I$224,$G262=Model_Start_Date),1,IF(AND(N$25&lt;=$G$224,N$26&gt;=$G$224,$G262=Model_Start_Date),($I$224-N$25+1)/(N$26-N$25+1),IF(AND($G262&gt;=N$25,$I262&lt;=N$26),($I262-$G262+1)/(N$26-N$25+1),IF(AND($G262&lt;=N$25,$I262&gt;=N$26),1,IF(AND($G262&lt;=N$25,$I262&gt;=N$25),($I262-N$25+1)/(N$26-N$25+1),IF(AND($G262&lt;=N$26,$I262&gt;=N$26),(N$26-$G262+1)/(N$26-N$25+1),0)))))))</f>
        <v>0</v>
      </c>
      <c r="O262" s="170" t="n">
        <f aca="false">IF(AND(O$26&lt;=$G$224,$G262=Model_Start_Date),1,IF(AND(O$25&lt;=$G$224,O$26&lt;=$I$224,$G262=Model_Start_Date),1,IF(AND(O$25&lt;=$G$224,O$26&gt;=$G$224,$G262=Model_Start_Date),($I$224-O$25+1)/(O$26-O$25+1),IF(AND($G262&gt;=O$25,$I262&lt;=O$26),($I262-$G262+1)/(O$26-O$25+1),IF(AND($G262&lt;=O$25,$I262&gt;=O$26),1,IF(AND($G262&lt;=O$25,$I262&gt;=O$25),($I262-O$25+1)/(O$26-O$25+1),IF(AND($G262&lt;=O$26,$I262&gt;=O$26),(O$26-$G262+1)/(O$26-O$25+1),0)))))))</f>
        <v>0</v>
      </c>
      <c r="P262" s="170" t="n">
        <f aca="false">IF(AND(P$26&lt;=$G$224,$G262=Model_Start_Date),1,IF(AND(P$25&lt;=$G$224,P$26&lt;=$I$224,$G262=Model_Start_Date),1,IF(AND(P$25&lt;=$G$224,P$26&gt;=$G$224,$G262=Model_Start_Date),($I$224-P$25+1)/(P$26-P$25+1),IF(AND($G262&gt;=P$25,$I262&lt;=P$26),($I262-$G262+1)/(P$26-P$25+1),IF(AND($G262&lt;=P$25,$I262&gt;=P$26),1,IF(AND($G262&lt;=P$25,$I262&gt;=P$25),($I262-P$25+1)/(P$26-P$25+1),IF(AND($G262&lt;=P$26,$I262&gt;=P$26),(P$26-$G262+1)/(P$26-P$25+1),0)))))))</f>
        <v>0</v>
      </c>
    </row>
    <row r="263" customFormat="false" ht="13.8" hidden="false" customHeight="false" outlineLevel="0" collapsed="false">
      <c r="B263" s="1"/>
      <c r="D263" s="1"/>
      <c r="F263" s="5" t="e">
        <f aca="false">MATCH(G263,#REF!)</f>
        <v>#VALUE!</v>
      </c>
      <c r="G263" s="169" t="n">
        <f aca="false">IF(I262=0,Model_Start_Date,I262+1)</f>
        <v>46844</v>
      </c>
      <c r="H263" s="1"/>
      <c r="I263" s="169" t="n">
        <f aca="false">EOMONTH(G263,0)</f>
        <v>46873</v>
      </c>
      <c r="K263" s="15" t="s">
        <v>687</v>
      </c>
      <c r="L263" s="12"/>
      <c r="M263" s="170" t="n">
        <f aca="false">IF(AND(M$26&lt;=$G$224,$G263=Model_Start_Date),1,IF(AND(M$25&lt;=$G$224,M$26&lt;=$I$224,$G263=Model_Start_Date),1,IF(AND(M$25&lt;=$G$224,M$26&gt;=$G$224,$G263=Model_Start_Date),($I$224-M$25+1)/(M$26-M$25+1),IF(AND($G263&gt;=M$25,$I263&lt;=M$26),($I263-$G263+1)/(M$26-M$25+1),IF(AND($G263&lt;=M$25,$I263&gt;=M$26),1,IF(AND($G263&lt;=M$25,$I263&gt;=M$25),($I263-M$25+1)/(M$26-M$25+1),IF(AND($G263&lt;=M$26,$I263&gt;=M$26),(M$26-$G263+1)/(M$26-M$25+1),0)))))))</f>
        <v>0</v>
      </c>
      <c r="N263" s="170" t="n">
        <f aca="false">IF(AND(N$26&lt;=$G$224,$G263=Model_Start_Date),1,IF(AND(N$25&lt;=$G$224,N$26&lt;=$I$224,$G263=Model_Start_Date),1,IF(AND(N$25&lt;=$G$224,N$26&gt;=$G$224,$G263=Model_Start_Date),($I$224-N$25+1)/(N$26-N$25+1),IF(AND($G263&gt;=N$25,$I263&lt;=N$26),($I263-$G263+1)/(N$26-N$25+1),IF(AND($G263&lt;=N$25,$I263&gt;=N$26),1,IF(AND($G263&lt;=N$25,$I263&gt;=N$25),($I263-N$25+1)/(N$26-N$25+1),IF(AND($G263&lt;=N$26,$I263&gt;=N$26),(N$26-$G263+1)/(N$26-N$25+1),0)))))))</f>
        <v>0</v>
      </c>
      <c r="O263" s="170" t="n">
        <f aca="false">IF(AND(O$26&lt;=$G$224,$G263=Model_Start_Date),1,IF(AND(O$25&lt;=$G$224,O$26&lt;=$I$224,$G263=Model_Start_Date),1,IF(AND(O$25&lt;=$G$224,O$26&gt;=$G$224,$G263=Model_Start_Date),($I$224-O$25+1)/(O$26-O$25+1),IF(AND($G263&gt;=O$25,$I263&lt;=O$26),($I263-$G263+1)/(O$26-O$25+1),IF(AND($G263&lt;=O$25,$I263&gt;=O$26),1,IF(AND($G263&lt;=O$25,$I263&gt;=O$25),($I263-O$25+1)/(O$26-O$25+1),IF(AND($G263&lt;=O$26,$I263&gt;=O$26),(O$26-$G263+1)/(O$26-O$25+1),0)))))))</f>
        <v>0</v>
      </c>
      <c r="P263" s="170" t="n">
        <f aca="false">IF(AND(P$26&lt;=$G$224,$G263=Model_Start_Date),1,IF(AND(P$25&lt;=$G$224,P$26&lt;=$I$224,$G263=Model_Start_Date),1,IF(AND(P$25&lt;=$G$224,P$26&gt;=$G$224,$G263=Model_Start_Date),($I$224-P$25+1)/(P$26-P$25+1),IF(AND($G263&gt;=P$25,$I263&lt;=P$26),($I263-$G263+1)/(P$26-P$25+1),IF(AND($G263&lt;=P$25,$I263&gt;=P$26),1,IF(AND($G263&lt;=P$25,$I263&gt;=P$25),($I263-P$25+1)/(P$26-P$25+1),IF(AND($G263&lt;=P$26,$I263&gt;=P$26),(P$26-$G263+1)/(P$26-P$25+1),0)))))))</f>
        <v>0</v>
      </c>
    </row>
    <row r="264" customFormat="false" ht="13.8" hidden="false" customHeight="false" outlineLevel="0" collapsed="false">
      <c r="B264" s="1"/>
      <c r="D264" s="1"/>
      <c r="F264" s="5" t="e">
        <f aca="false">MATCH(G264,#REF!)</f>
        <v>#VALUE!</v>
      </c>
      <c r="G264" s="169" t="n">
        <f aca="false">IF(I263=0,Model_Start_Date,I263+1)</f>
        <v>46874</v>
      </c>
      <c r="H264" s="1"/>
      <c r="I264" s="169" t="n">
        <f aca="false">EOMONTH(G264,0)</f>
        <v>46904</v>
      </c>
      <c r="K264" s="15" t="s">
        <v>687</v>
      </c>
      <c r="L264" s="12"/>
      <c r="M264" s="170" t="n">
        <f aca="false">IF(AND(M$26&lt;=$G$224,$G264=Model_Start_Date),1,IF(AND(M$25&lt;=$G$224,M$26&lt;=$I$224,$G264=Model_Start_Date),1,IF(AND(M$25&lt;=$G$224,M$26&gt;=$G$224,$G264=Model_Start_Date),($I$224-M$25+1)/(M$26-M$25+1),IF(AND($G264&gt;=M$25,$I264&lt;=M$26),($I264-$G264+1)/(M$26-M$25+1),IF(AND($G264&lt;=M$25,$I264&gt;=M$26),1,IF(AND($G264&lt;=M$25,$I264&gt;=M$25),($I264-M$25+1)/(M$26-M$25+1),IF(AND($G264&lt;=M$26,$I264&gt;=M$26),(M$26-$G264+1)/(M$26-M$25+1),0)))))))</f>
        <v>0</v>
      </c>
      <c r="N264" s="170" t="n">
        <f aca="false">IF(AND(N$26&lt;=$G$224,$G264=Model_Start_Date),1,IF(AND(N$25&lt;=$G$224,N$26&lt;=$I$224,$G264=Model_Start_Date),1,IF(AND(N$25&lt;=$G$224,N$26&gt;=$G$224,$G264=Model_Start_Date),($I$224-N$25+1)/(N$26-N$25+1),IF(AND($G264&gt;=N$25,$I264&lt;=N$26),($I264-$G264+1)/(N$26-N$25+1),IF(AND($G264&lt;=N$25,$I264&gt;=N$26),1,IF(AND($G264&lt;=N$25,$I264&gt;=N$25),($I264-N$25+1)/(N$26-N$25+1),IF(AND($G264&lt;=N$26,$I264&gt;=N$26),(N$26-$G264+1)/(N$26-N$25+1),0)))))))</f>
        <v>0</v>
      </c>
      <c r="O264" s="170" t="n">
        <f aca="false">IF(AND(O$26&lt;=$G$224,$G264=Model_Start_Date),1,IF(AND(O$25&lt;=$G$224,O$26&lt;=$I$224,$G264=Model_Start_Date),1,IF(AND(O$25&lt;=$G$224,O$26&gt;=$G$224,$G264=Model_Start_Date),($I$224-O$25+1)/(O$26-O$25+1),IF(AND($G264&gt;=O$25,$I264&lt;=O$26),($I264-$G264+1)/(O$26-O$25+1),IF(AND($G264&lt;=O$25,$I264&gt;=O$26),1,IF(AND($G264&lt;=O$25,$I264&gt;=O$25),($I264-O$25+1)/(O$26-O$25+1),IF(AND($G264&lt;=O$26,$I264&gt;=O$26),(O$26-$G264+1)/(O$26-O$25+1),0)))))))</f>
        <v>0</v>
      </c>
      <c r="P264" s="170" t="n">
        <f aca="false">IF(AND(P$26&lt;=$G$224,$G264=Model_Start_Date),1,IF(AND(P$25&lt;=$G$224,P$26&lt;=$I$224,$G264=Model_Start_Date),1,IF(AND(P$25&lt;=$G$224,P$26&gt;=$G$224,$G264=Model_Start_Date),($I$224-P$25+1)/(P$26-P$25+1),IF(AND($G264&gt;=P$25,$I264&lt;=P$26),($I264-$G264+1)/(P$26-P$25+1),IF(AND($G264&lt;=P$25,$I264&gt;=P$26),1,IF(AND($G264&lt;=P$25,$I264&gt;=P$25),($I264-P$25+1)/(P$26-P$25+1),IF(AND($G264&lt;=P$26,$I264&gt;=P$26),(P$26-$G264+1)/(P$26-P$25+1),0)))))))</f>
        <v>0</v>
      </c>
    </row>
    <row r="265" customFormat="false" ht="13.8" hidden="false" customHeight="false" outlineLevel="0" collapsed="false">
      <c r="B265" s="1"/>
      <c r="D265" s="1"/>
      <c r="F265" s="5" t="e">
        <f aca="false">MATCH(G265,#REF!)</f>
        <v>#VALUE!</v>
      </c>
      <c r="G265" s="169" t="n">
        <f aca="false">IF(I264=0,Model_Start_Date,I264+1)</f>
        <v>46905</v>
      </c>
      <c r="H265" s="1"/>
      <c r="I265" s="169" t="n">
        <f aca="false">EOMONTH(G265,0)</f>
        <v>46934</v>
      </c>
      <c r="K265" s="15" t="s">
        <v>687</v>
      </c>
      <c r="L265" s="12"/>
      <c r="M265" s="170" t="n">
        <f aca="false">IF(AND(M$26&lt;=$G$224,$G265=Model_Start_Date),1,IF(AND(M$25&lt;=$G$224,M$26&lt;=$I$224,$G265=Model_Start_Date),1,IF(AND(M$25&lt;=$G$224,M$26&gt;=$G$224,$G265=Model_Start_Date),($I$224-M$25+1)/(M$26-M$25+1),IF(AND($G265&gt;=M$25,$I265&lt;=M$26),($I265-$G265+1)/(M$26-M$25+1),IF(AND($G265&lt;=M$25,$I265&gt;=M$26),1,IF(AND($G265&lt;=M$25,$I265&gt;=M$25),($I265-M$25+1)/(M$26-M$25+1),IF(AND($G265&lt;=M$26,$I265&gt;=M$26),(M$26-$G265+1)/(M$26-M$25+1),0)))))))</f>
        <v>0</v>
      </c>
      <c r="N265" s="170" t="n">
        <f aca="false">IF(AND(N$26&lt;=$G$224,$G265=Model_Start_Date),1,IF(AND(N$25&lt;=$G$224,N$26&lt;=$I$224,$G265=Model_Start_Date),1,IF(AND(N$25&lt;=$G$224,N$26&gt;=$G$224,$G265=Model_Start_Date),($I$224-N$25+1)/(N$26-N$25+1),IF(AND($G265&gt;=N$25,$I265&lt;=N$26),($I265-$G265+1)/(N$26-N$25+1),IF(AND($G265&lt;=N$25,$I265&gt;=N$26),1,IF(AND($G265&lt;=N$25,$I265&gt;=N$25),($I265-N$25+1)/(N$26-N$25+1),IF(AND($G265&lt;=N$26,$I265&gt;=N$26),(N$26-$G265+1)/(N$26-N$25+1),0)))))))</f>
        <v>0</v>
      </c>
      <c r="O265" s="170" t="n">
        <f aca="false">IF(AND(O$26&lt;=$G$224,$G265=Model_Start_Date),1,IF(AND(O$25&lt;=$G$224,O$26&lt;=$I$224,$G265=Model_Start_Date),1,IF(AND(O$25&lt;=$G$224,O$26&gt;=$G$224,$G265=Model_Start_Date),($I$224-O$25+1)/(O$26-O$25+1),IF(AND($G265&gt;=O$25,$I265&lt;=O$26),($I265-$G265+1)/(O$26-O$25+1),IF(AND($G265&lt;=O$25,$I265&gt;=O$26),1,IF(AND($G265&lt;=O$25,$I265&gt;=O$25),($I265-O$25+1)/(O$26-O$25+1),IF(AND($G265&lt;=O$26,$I265&gt;=O$26),(O$26-$G265+1)/(O$26-O$25+1),0)))))))</f>
        <v>0</v>
      </c>
      <c r="P265" s="170" t="n">
        <f aca="false">IF(AND(P$26&lt;=$G$224,$G265=Model_Start_Date),1,IF(AND(P$25&lt;=$G$224,P$26&lt;=$I$224,$G265=Model_Start_Date),1,IF(AND(P$25&lt;=$G$224,P$26&gt;=$G$224,$G265=Model_Start_Date),($I$224-P$25+1)/(P$26-P$25+1),IF(AND($G265&gt;=P$25,$I265&lt;=P$26),($I265-$G265+1)/(P$26-P$25+1),IF(AND($G265&lt;=P$25,$I265&gt;=P$26),1,IF(AND($G265&lt;=P$25,$I265&gt;=P$25),($I265-P$25+1)/(P$26-P$25+1),IF(AND($G265&lt;=P$26,$I265&gt;=P$26),(P$26-$G265+1)/(P$26-P$25+1),0)))))))</f>
        <v>0</v>
      </c>
    </row>
    <row r="266" customFormat="false" ht="13.8" hidden="false" customHeight="false" outlineLevel="0" collapsed="false">
      <c r="B266" s="1"/>
      <c r="D266" s="1"/>
      <c r="F266" s="5" t="e">
        <f aca="false">MATCH(G266,#REF!)</f>
        <v>#VALUE!</v>
      </c>
      <c r="G266" s="169" t="n">
        <f aca="false">IF(I265=0,Model_Start_Date,I265+1)</f>
        <v>46935</v>
      </c>
      <c r="H266" s="1"/>
      <c r="I266" s="169" t="n">
        <f aca="false">EOMONTH(G266,0)</f>
        <v>46965</v>
      </c>
      <c r="K266" s="15" t="s">
        <v>687</v>
      </c>
      <c r="L266" s="12"/>
      <c r="M266" s="170" t="n">
        <f aca="false">IF(AND(M$26&lt;=$G$224,$G266=Model_Start_Date),1,IF(AND(M$25&lt;=$G$224,M$26&lt;=$I$224,$G266=Model_Start_Date),1,IF(AND(M$25&lt;=$G$224,M$26&gt;=$G$224,$G266=Model_Start_Date),($I$224-M$25+1)/(M$26-M$25+1),IF(AND($G266&gt;=M$25,$I266&lt;=M$26),($I266-$G266+1)/(M$26-M$25+1),IF(AND($G266&lt;=M$25,$I266&gt;=M$26),1,IF(AND($G266&lt;=M$25,$I266&gt;=M$25),($I266-M$25+1)/(M$26-M$25+1),IF(AND($G266&lt;=M$26,$I266&gt;=M$26),(M$26-$G266+1)/(M$26-M$25+1),0)))))))</f>
        <v>0</v>
      </c>
      <c r="N266" s="170" t="n">
        <f aca="false">IF(AND(N$26&lt;=$G$224,$G266=Model_Start_Date),1,IF(AND(N$25&lt;=$G$224,N$26&lt;=$I$224,$G266=Model_Start_Date),1,IF(AND(N$25&lt;=$G$224,N$26&gt;=$G$224,$G266=Model_Start_Date),($I$224-N$25+1)/(N$26-N$25+1),IF(AND($G266&gt;=N$25,$I266&lt;=N$26),($I266-$G266+1)/(N$26-N$25+1),IF(AND($G266&lt;=N$25,$I266&gt;=N$26),1,IF(AND($G266&lt;=N$25,$I266&gt;=N$25),($I266-N$25+1)/(N$26-N$25+1),IF(AND($G266&lt;=N$26,$I266&gt;=N$26),(N$26-$G266+1)/(N$26-N$25+1),0)))))))</f>
        <v>0</v>
      </c>
      <c r="O266" s="170" t="n">
        <f aca="false">IF(AND(O$26&lt;=$G$224,$G266=Model_Start_Date),1,IF(AND(O$25&lt;=$G$224,O$26&lt;=$I$224,$G266=Model_Start_Date),1,IF(AND(O$25&lt;=$G$224,O$26&gt;=$G$224,$G266=Model_Start_Date),($I$224-O$25+1)/(O$26-O$25+1),IF(AND($G266&gt;=O$25,$I266&lt;=O$26),($I266-$G266+1)/(O$26-O$25+1),IF(AND($G266&lt;=O$25,$I266&gt;=O$26),1,IF(AND($G266&lt;=O$25,$I266&gt;=O$25),($I266-O$25+1)/(O$26-O$25+1),IF(AND($G266&lt;=O$26,$I266&gt;=O$26),(O$26-$G266+1)/(O$26-O$25+1),0)))))))</f>
        <v>0</v>
      </c>
      <c r="P266" s="170" t="n">
        <f aca="false">IF(AND(P$26&lt;=$G$224,$G266=Model_Start_Date),1,IF(AND(P$25&lt;=$G$224,P$26&lt;=$I$224,$G266=Model_Start_Date),1,IF(AND(P$25&lt;=$G$224,P$26&gt;=$G$224,$G266=Model_Start_Date),($I$224-P$25+1)/(P$26-P$25+1),IF(AND($G266&gt;=P$25,$I266&lt;=P$26),($I266-$G266+1)/(P$26-P$25+1),IF(AND($G266&lt;=P$25,$I266&gt;=P$26),1,IF(AND($G266&lt;=P$25,$I266&gt;=P$25),($I266-P$25+1)/(P$26-P$25+1),IF(AND($G266&lt;=P$26,$I266&gt;=P$26),(P$26-$G266+1)/(P$26-P$25+1),0)))))))</f>
        <v>0</v>
      </c>
    </row>
    <row r="267" customFormat="false" ht="13.8" hidden="false" customHeight="false" outlineLevel="0" collapsed="false">
      <c r="B267" s="1"/>
      <c r="D267" s="1"/>
      <c r="F267" s="5" t="e">
        <f aca="false">MATCH(G267,#REF!)</f>
        <v>#VALUE!</v>
      </c>
      <c r="G267" s="169" t="n">
        <f aca="false">IF(I266=0,Model_Start_Date,I266+1)</f>
        <v>46966</v>
      </c>
      <c r="H267" s="1"/>
      <c r="I267" s="169" t="n">
        <f aca="false">EOMONTH(G267,0)</f>
        <v>46996</v>
      </c>
      <c r="K267" s="15" t="s">
        <v>687</v>
      </c>
      <c r="L267" s="12"/>
      <c r="M267" s="170" t="n">
        <f aca="false">IF(AND(M$26&lt;=$G$224,$G267=Model_Start_Date),1,IF(AND(M$25&lt;=$G$224,M$26&lt;=$I$224,$G267=Model_Start_Date),1,IF(AND(M$25&lt;=$G$224,M$26&gt;=$G$224,$G267=Model_Start_Date),($I$224-M$25+1)/(M$26-M$25+1),IF(AND($G267&gt;=M$25,$I267&lt;=M$26),($I267-$G267+1)/(M$26-M$25+1),IF(AND($G267&lt;=M$25,$I267&gt;=M$26),1,IF(AND($G267&lt;=M$25,$I267&gt;=M$25),($I267-M$25+1)/(M$26-M$25+1),IF(AND($G267&lt;=M$26,$I267&gt;=M$26),(M$26-$G267+1)/(M$26-M$25+1),0)))))))</f>
        <v>0</v>
      </c>
      <c r="N267" s="170" t="n">
        <f aca="false">IF(AND(N$26&lt;=$G$224,$G267=Model_Start_Date),1,IF(AND(N$25&lt;=$G$224,N$26&lt;=$I$224,$G267=Model_Start_Date),1,IF(AND(N$25&lt;=$G$224,N$26&gt;=$G$224,$G267=Model_Start_Date),($I$224-N$25+1)/(N$26-N$25+1),IF(AND($G267&gt;=N$25,$I267&lt;=N$26),($I267-$G267+1)/(N$26-N$25+1),IF(AND($G267&lt;=N$25,$I267&gt;=N$26),1,IF(AND($G267&lt;=N$25,$I267&gt;=N$25),($I267-N$25+1)/(N$26-N$25+1),IF(AND($G267&lt;=N$26,$I267&gt;=N$26),(N$26-$G267+1)/(N$26-N$25+1),0)))))))</f>
        <v>0</v>
      </c>
      <c r="O267" s="170" t="n">
        <f aca="false">IF(AND(O$26&lt;=$G$224,$G267=Model_Start_Date),1,IF(AND(O$25&lt;=$G$224,O$26&lt;=$I$224,$G267=Model_Start_Date),1,IF(AND(O$25&lt;=$G$224,O$26&gt;=$G$224,$G267=Model_Start_Date),($I$224-O$25+1)/(O$26-O$25+1),IF(AND($G267&gt;=O$25,$I267&lt;=O$26),($I267-$G267+1)/(O$26-O$25+1),IF(AND($G267&lt;=O$25,$I267&gt;=O$26),1,IF(AND($G267&lt;=O$25,$I267&gt;=O$25),($I267-O$25+1)/(O$26-O$25+1),IF(AND($G267&lt;=O$26,$I267&gt;=O$26),(O$26-$G267+1)/(O$26-O$25+1),0)))))))</f>
        <v>0</v>
      </c>
      <c r="P267" s="170" t="n">
        <f aca="false">IF(AND(P$26&lt;=$G$224,$G267=Model_Start_Date),1,IF(AND(P$25&lt;=$G$224,P$26&lt;=$I$224,$G267=Model_Start_Date),1,IF(AND(P$25&lt;=$G$224,P$26&gt;=$G$224,$G267=Model_Start_Date),($I$224-P$25+1)/(P$26-P$25+1),IF(AND($G267&gt;=P$25,$I267&lt;=P$26),($I267-$G267+1)/(P$26-P$25+1),IF(AND($G267&lt;=P$25,$I267&gt;=P$26),1,IF(AND($G267&lt;=P$25,$I267&gt;=P$25),($I267-P$25+1)/(P$26-P$25+1),IF(AND($G267&lt;=P$26,$I267&gt;=P$26),(P$26-$G267+1)/(P$26-P$25+1),0)))))))</f>
        <v>0</v>
      </c>
    </row>
    <row r="268" customFormat="false" ht="13.8" hidden="false" customHeight="false" outlineLevel="0" collapsed="false">
      <c r="B268" s="1"/>
      <c r="D268" s="1"/>
      <c r="F268" s="5" t="e">
        <f aca="false">MATCH(G268,#REF!)</f>
        <v>#VALUE!</v>
      </c>
      <c r="G268" s="169" t="n">
        <f aca="false">IF(I267=0,Model_Start_Date,I267+1)</f>
        <v>46997</v>
      </c>
      <c r="H268" s="1"/>
      <c r="I268" s="169" t="n">
        <f aca="false">EOMONTH(G268,0)</f>
        <v>47026</v>
      </c>
      <c r="K268" s="15" t="s">
        <v>687</v>
      </c>
      <c r="L268" s="12"/>
      <c r="M268" s="170" t="n">
        <f aca="false">IF(AND(M$26&lt;=$G$224,$G268=Model_Start_Date),1,IF(AND(M$25&lt;=$G$224,M$26&lt;=$I$224,$G268=Model_Start_Date),1,IF(AND(M$25&lt;=$G$224,M$26&gt;=$G$224,$G268=Model_Start_Date),($I$224-M$25+1)/(M$26-M$25+1),IF(AND($G268&gt;=M$25,$I268&lt;=M$26),($I268-$G268+1)/(M$26-M$25+1),IF(AND($G268&lt;=M$25,$I268&gt;=M$26),1,IF(AND($G268&lt;=M$25,$I268&gt;=M$25),($I268-M$25+1)/(M$26-M$25+1),IF(AND($G268&lt;=M$26,$I268&gt;=M$26),(M$26-$G268+1)/(M$26-M$25+1),0)))))))</f>
        <v>0</v>
      </c>
      <c r="N268" s="170" t="n">
        <f aca="false">IF(AND(N$26&lt;=$G$224,$G268=Model_Start_Date),1,IF(AND(N$25&lt;=$G$224,N$26&lt;=$I$224,$G268=Model_Start_Date),1,IF(AND(N$25&lt;=$G$224,N$26&gt;=$G$224,$G268=Model_Start_Date),($I$224-N$25+1)/(N$26-N$25+1),IF(AND($G268&gt;=N$25,$I268&lt;=N$26),($I268-$G268+1)/(N$26-N$25+1),IF(AND($G268&lt;=N$25,$I268&gt;=N$26),1,IF(AND($G268&lt;=N$25,$I268&gt;=N$25),($I268-N$25+1)/(N$26-N$25+1),IF(AND($G268&lt;=N$26,$I268&gt;=N$26),(N$26-$G268+1)/(N$26-N$25+1),0)))))))</f>
        <v>0</v>
      </c>
      <c r="O268" s="170" t="n">
        <f aca="false">IF(AND(O$26&lt;=$G$224,$G268=Model_Start_Date),1,IF(AND(O$25&lt;=$G$224,O$26&lt;=$I$224,$G268=Model_Start_Date),1,IF(AND(O$25&lt;=$G$224,O$26&gt;=$G$224,$G268=Model_Start_Date),($I$224-O$25+1)/(O$26-O$25+1),IF(AND($G268&gt;=O$25,$I268&lt;=O$26),($I268-$G268+1)/(O$26-O$25+1),IF(AND($G268&lt;=O$25,$I268&gt;=O$26),1,IF(AND($G268&lt;=O$25,$I268&gt;=O$25),($I268-O$25+1)/(O$26-O$25+1),IF(AND($G268&lt;=O$26,$I268&gt;=O$26),(O$26-$G268+1)/(O$26-O$25+1),0)))))))</f>
        <v>0</v>
      </c>
      <c r="P268" s="170" t="n">
        <f aca="false">IF(AND(P$26&lt;=$G$224,$G268=Model_Start_Date),1,IF(AND(P$25&lt;=$G$224,P$26&lt;=$I$224,$G268=Model_Start_Date),1,IF(AND(P$25&lt;=$G$224,P$26&gt;=$G$224,$G268=Model_Start_Date),($I$224-P$25+1)/(P$26-P$25+1),IF(AND($G268&gt;=P$25,$I268&lt;=P$26),($I268-$G268+1)/(P$26-P$25+1),IF(AND($G268&lt;=P$25,$I268&gt;=P$26),1,IF(AND($G268&lt;=P$25,$I268&gt;=P$25),($I268-P$25+1)/(P$26-P$25+1),IF(AND($G268&lt;=P$26,$I268&gt;=P$26),(P$26-$G268+1)/(P$26-P$25+1),0)))))))</f>
        <v>0</v>
      </c>
    </row>
    <row r="269" customFormat="false" ht="13.8" hidden="false" customHeight="false" outlineLevel="0" collapsed="false">
      <c r="B269" s="1"/>
      <c r="D269" s="1"/>
      <c r="F269" s="5" t="e">
        <f aca="false">MATCH(G269,#REF!)</f>
        <v>#VALUE!</v>
      </c>
      <c r="G269" s="169" t="n">
        <f aca="false">IF(I268=0,Model_Start_Date,I268+1)</f>
        <v>47027</v>
      </c>
      <c r="H269" s="1"/>
      <c r="I269" s="169" t="n">
        <f aca="false">EOMONTH(G269,0)</f>
        <v>47057</v>
      </c>
      <c r="K269" s="15" t="s">
        <v>687</v>
      </c>
      <c r="L269" s="12"/>
      <c r="M269" s="170" t="n">
        <f aca="false">IF(AND(M$26&lt;=$G$224,$G269=Model_Start_Date),1,IF(AND(M$25&lt;=$G$224,M$26&lt;=$I$224,$G269=Model_Start_Date),1,IF(AND(M$25&lt;=$G$224,M$26&gt;=$G$224,$G269=Model_Start_Date),($I$224-M$25+1)/(M$26-M$25+1),IF(AND($G269&gt;=M$25,$I269&lt;=M$26),($I269-$G269+1)/(M$26-M$25+1),IF(AND($G269&lt;=M$25,$I269&gt;=M$26),1,IF(AND($G269&lt;=M$25,$I269&gt;=M$25),($I269-M$25+1)/(M$26-M$25+1),IF(AND($G269&lt;=M$26,$I269&gt;=M$26),(M$26-$G269+1)/(M$26-M$25+1),0)))))))</f>
        <v>0</v>
      </c>
      <c r="N269" s="170" t="n">
        <f aca="false">IF(AND(N$26&lt;=$G$224,$G269=Model_Start_Date),1,IF(AND(N$25&lt;=$G$224,N$26&lt;=$I$224,$G269=Model_Start_Date),1,IF(AND(N$25&lt;=$G$224,N$26&gt;=$G$224,$G269=Model_Start_Date),($I$224-N$25+1)/(N$26-N$25+1),IF(AND($G269&gt;=N$25,$I269&lt;=N$26),($I269-$G269+1)/(N$26-N$25+1),IF(AND($G269&lt;=N$25,$I269&gt;=N$26),1,IF(AND($G269&lt;=N$25,$I269&gt;=N$25),($I269-N$25+1)/(N$26-N$25+1),IF(AND($G269&lt;=N$26,$I269&gt;=N$26),(N$26-$G269+1)/(N$26-N$25+1),0)))))))</f>
        <v>0</v>
      </c>
      <c r="O269" s="170" t="n">
        <f aca="false">IF(AND(O$26&lt;=$G$224,$G269=Model_Start_Date),1,IF(AND(O$25&lt;=$G$224,O$26&lt;=$I$224,$G269=Model_Start_Date),1,IF(AND(O$25&lt;=$G$224,O$26&gt;=$G$224,$G269=Model_Start_Date),($I$224-O$25+1)/(O$26-O$25+1),IF(AND($G269&gt;=O$25,$I269&lt;=O$26),($I269-$G269+1)/(O$26-O$25+1),IF(AND($G269&lt;=O$25,$I269&gt;=O$26),1,IF(AND($G269&lt;=O$25,$I269&gt;=O$25),($I269-O$25+1)/(O$26-O$25+1),IF(AND($G269&lt;=O$26,$I269&gt;=O$26),(O$26-$G269+1)/(O$26-O$25+1),0)))))))</f>
        <v>0</v>
      </c>
      <c r="P269" s="170" t="n">
        <f aca="false">IF(AND(P$26&lt;=$G$224,$G269=Model_Start_Date),1,IF(AND(P$25&lt;=$G$224,P$26&lt;=$I$224,$G269=Model_Start_Date),1,IF(AND(P$25&lt;=$G$224,P$26&gt;=$G$224,$G269=Model_Start_Date),($I$224-P$25+1)/(P$26-P$25+1),IF(AND($G269&gt;=P$25,$I269&lt;=P$26),($I269-$G269+1)/(P$26-P$25+1),IF(AND($G269&lt;=P$25,$I269&gt;=P$26),1,IF(AND($G269&lt;=P$25,$I269&gt;=P$25),($I269-P$25+1)/(P$26-P$25+1),IF(AND($G269&lt;=P$26,$I269&gt;=P$26),(P$26-$G269+1)/(P$26-P$25+1),0)))))))</f>
        <v>0</v>
      </c>
    </row>
    <row r="270" customFormat="false" ht="13.8" hidden="false" customHeight="false" outlineLevel="0" collapsed="false">
      <c r="B270" s="1"/>
      <c r="D270" s="1"/>
      <c r="F270" s="5" t="e">
        <f aca="false">MATCH(G270,#REF!)</f>
        <v>#VALUE!</v>
      </c>
      <c r="G270" s="169" t="n">
        <f aca="false">IF(I269=0,Model_Start_Date,I269+1)</f>
        <v>47058</v>
      </c>
      <c r="H270" s="1"/>
      <c r="I270" s="169" t="n">
        <f aca="false">EOMONTH(G270,0)</f>
        <v>47087</v>
      </c>
      <c r="K270" s="15" t="s">
        <v>687</v>
      </c>
      <c r="L270" s="12"/>
      <c r="M270" s="170" t="n">
        <f aca="false">IF(AND(M$26&lt;=$G$224,$G270=Model_Start_Date),1,IF(AND(M$25&lt;=$G$224,M$26&lt;=$I$224,$G270=Model_Start_Date),1,IF(AND(M$25&lt;=$G$224,M$26&gt;=$G$224,$G270=Model_Start_Date),($I$224-M$25+1)/(M$26-M$25+1),IF(AND($G270&gt;=M$25,$I270&lt;=M$26),($I270-$G270+1)/(M$26-M$25+1),IF(AND($G270&lt;=M$25,$I270&gt;=M$26),1,IF(AND($G270&lt;=M$25,$I270&gt;=M$25),($I270-M$25+1)/(M$26-M$25+1),IF(AND($G270&lt;=M$26,$I270&gt;=M$26),(M$26-$G270+1)/(M$26-M$25+1),0)))))))</f>
        <v>0</v>
      </c>
      <c r="N270" s="170" t="n">
        <f aca="false">IF(AND(N$26&lt;=$G$224,$G270=Model_Start_Date),1,IF(AND(N$25&lt;=$G$224,N$26&lt;=$I$224,$G270=Model_Start_Date),1,IF(AND(N$25&lt;=$G$224,N$26&gt;=$G$224,$G270=Model_Start_Date),($I$224-N$25+1)/(N$26-N$25+1),IF(AND($G270&gt;=N$25,$I270&lt;=N$26),($I270-$G270+1)/(N$26-N$25+1),IF(AND($G270&lt;=N$25,$I270&gt;=N$26),1,IF(AND($G270&lt;=N$25,$I270&gt;=N$25),($I270-N$25+1)/(N$26-N$25+1),IF(AND($G270&lt;=N$26,$I270&gt;=N$26),(N$26-$G270+1)/(N$26-N$25+1),0)))))))</f>
        <v>0</v>
      </c>
      <c r="O270" s="170" t="n">
        <f aca="false">IF(AND(O$26&lt;=$G$224,$G270=Model_Start_Date),1,IF(AND(O$25&lt;=$G$224,O$26&lt;=$I$224,$G270=Model_Start_Date),1,IF(AND(O$25&lt;=$G$224,O$26&gt;=$G$224,$G270=Model_Start_Date),($I$224-O$25+1)/(O$26-O$25+1),IF(AND($G270&gt;=O$25,$I270&lt;=O$26),($I270-$G270+1)/(O$26-O$25+1),IF(AND($G270&lt;=O$25,$I270&gt;=O$26),1,IF(AND($G270&lt;=O$25,$I270&gt;=O$25),($I270-O$25+1)/(O$26-O$25+1),IF(AND($G270&lt;=O$26,$I270&gt;=O$26),(O$26-$G270+1)/(O$26-O$25+1),0)))))))</f>
        <v>0</v>
      </c>
      <c r="P270" s="170" t="n">
        <f aca="false">IF(AND(P$26&lt;=$G$224,$G270=Model_Start_Date),1,IF(AND(P$25&lt;=$G$224,P$26&lt;=$I$224,$G270=Model_Start_Date),1,IF(AND(P$25&lt;=$G$224,P$26&gt;=$G$224,$G270=Model_Start_Date),($I$224-P$25+1)/(P$26-P$25+1),IF(AND($G270&gt;=P$25,$I270&lt;=P$26),($I270-$G270+1)/(P$26-P$25+1),IF(AND($G270&lt;=P$25,$I270&gt;=P$26),1,IF(AND($G270&lt;=P$25,$I270&gt;=P$25),($I270-P$25+1)/(P$26-P$25+1),IF(AND($G270&lt;=P$26,$I270&gt;=P$26),(P$26-$G270+1)/(P$26-P$25+1),0)))))))</f>
        <v>0</v>
      </c>
    </row>
    <row r="271" customFormat="false" ht="13.8" hidden="false" customHeight="false" outlineLevel="0" collapsed="false">
      <c r="B271" s="1"/>
      <c r="D271" s="1"/>
      <c r="F271" s="5" t="e">
        <f aca="false">MATCH(G271,#REF!)</f>
        <v>#VALUE!</v>
      </c>
      <c r="G271" s="169" t="n">
        <f aca="false">IF(I270=0,Model_Start_Date,I270+1)</f>
        <v>47088</v>
      </c>
      <c r="H271" s="1"/>
      <c r="I271" s="169" t="n">
        <f aca="false">EOMONTH(G271,0)</f>
        <v>47118</v>
      </c>
      <c r="K271" s="15" t="s">
        <v>687</v>
      </c>
      <c r="L271" s="12"/>
      <c r="M271" s="170" t="n">
        <f aca="false">IF(AND(M$26&lt;=$G$224,$G271=Model_Start_Date),1,IF(AND(M$25&lt;=$G$224,M$26&lt;=$I$224,$G271=Model_Start_Date),1,IF(AND(M$25&lt;=$G$224,M$26&gt;=$G$224,$G271=Model_Start_Date),($I$224-M$25+1)/(M$26-M$25+1),IF(AND($G271&gt;=M$25,$I271&lt;=M$26),($I271-$G271+1)/(M$26-M$25+1),IF(AND($G271&lt;=M$25,$I271&gt;=M$26),1,IF(AND($G271&lt;=M$25,$I271&gt;=M$25),($I271-M$25+1)/(M$26-M$25+1),IF(AND($G271&lt;=M$26,$I271&gt;=M$26),(M$26-$G271+1)/(M$26-M$25+1),0)))))))</f>
        <v>0</v>
      </c>
      <c r="N271" s="170" t="n">
        <f aca="false">IF(AND(N$26&lt;=$G$224,$G271=Model_Start_Date),1,IF(AND(N$25&lt;=$G$224,N$26&lt;=$I$224,$G271=Model_Start_Date),1,IF(AND(N$25&lt;=$G$224,N$26&gt;=$G$224,$G271=Model_Start_Date),($I$224-N$25+1)/(N$26-N$25+1),IF(AND($G271&gt;=N$25,$I271&lt;=N$26),($I271-$G271+1)/(N$26-N$25+1),IF(AND($G271&lt;=N$25,$I271&gt;=N$26),1,IF(AND($G271&lt;=N$25,$I271&gt;=N$25),($I271-N$25+1)/(N$26-N$25+1),IF(AND($G271&lt;=N$26,$I271&gt;=N$26),(N$26-$G271+1)/(N$26-N$25+1),0)))))))</f>
        <v>0</v>
      </c>
      <c r="O271" s="170" t="n">
        <f aca="false">IF(AND(O$26&lt;=$G$224,$G271=Model_Start_Date),1,IF(AND(O$25&lt;=$G$224,O$26&lt;=$I$224,$G271=Model_Start_Date),1,IF(AND(O$25&lt;=$G$224,O$26&gt;=$G$224,$G271=Model_Start_Date),($I$224-O$25+1)/(O$26-O$25+1),IF(AND($G271&gt;=O$25,$I271&lt;=O$26),($I271-$G271+1)/(O$26-O$25+1),IF(AND($G271&lt;=O$25,$I271&gt;=O$26),1,IF(AND($G271&lt;=O$25,$I271&gt;=O$25),($I271-O$25+1)/(O$26-O$25+1),IF(AND($G271&lt;=O$26,$I271&gt;=O$26),(O$26-$G271+1)/(O$26-O$25+1),0)))))))</f>
        <v>0</v>
      </c>
      <c r="P271" s="170" t="n">
        <f aca="false">IF(AND(P$26&lt;=$G$224,$G271=Model_Start_Date),1,IF(AND(P$25&lt;=$G$224,P$26&lt;=$I$224,$G271=Model_Start_Date),1,IF(AND(P$25&lt;=$G$224,P$26&gt;=$G$224,$G271=Model_Start_Date),($I$224-P$25+1)/(P$26-P$25+1),IF(AND($G271&gt;=P$25,$I271&lt;=P$26),($I271-$G271+1)/(P$26-P$25+1),IF(AND($G271&lt;=P$25,$I271&gt;=P$26),1,IF(AND($G271&lt;=P$25,$I271&gt;=P$25),($I271-P$25+1)/(P$26-P$25+1),IF(AND($G271&lt;=P$26,$I271&gt;=P$26),(P$26-$G271+1)/(P$26-P$25+1),0)))))))</f>
        <v>0</v>
      </c>
    </row>
    <row r="272" customFormat="false" ht="13.8" hidden="false" customHeight="false" outlineLevel="0" collapsed="false">
      <c r="B272" s="1"/>
      <c r="D272" s="1"/>
      <c r="F272" s="5" t="e">
        <f aca="false">MATCH(G272,#REF!)</f>
        <v>#VALUE!</v>
      </c>
      <c r="G272" s="169" t="n">
        <f aca="false">IF(I271=0,Model_Start_Date,I271+1)</f>
        <v>47119</v>
      </c>
      <c r="H272" s="1"/>
      <c r="I272" s="169" t="n">
        <f aca="false">EOMONTH(G272,0)</f>
        <v>47149</v>
      </c>
      <c r="K272" s="15" t="s">
        <v>687</v>
      </c>
      <c r="L272" s="12"/>
      <c r="M272" s="170" t="n">
        <f aca="false">IF(AND(M$26&lt;=$G$224,$G272=Model_Start_Date),1,IF(AND(M$25&lt;=$G$224,M$26&lt;=$I$224,$G272=Model_Start_Date),1,IF(AND(M$25&lt;=$G$224,M$26&gt;=$G$224,$G272=Model_Start_Date),($I$224-M$25+1)/(M$26-M$25+1),IF(AND($G272&gt;=M$25,$I272&lt;=M$26),($I272-$G272+1)/(M$26-M$25+1),IF(AND($G272&lt;=M$25,$I272&gt;=M$26),1,IF(AND($G272&lt;=M$25,$I272&gt;=M$25),($I272-M$25+1)/(M$26-M$25+1),IF(AND($G272&lt;=M$26,$I272&gt;=M$26),(M$26-$G272+1)/(M$26-M$25+1),0)))))))</f>
        <v>0</v>
      </c>
      <c r="N272" s="170" t="n">
        <f aca="false">IF(AND(N$26&lt;=$G$224,$G272=Model_Start_Date),1,IF(AND(N$25&lt;=$G$224,N$26&lt;=$I$224,$G272=Model_Start_Date),1,IF(AND(N$25&lt;=$G$224,N$26&gt;=$G$224,$G272=Model_Start_Date),($I$224-N$25+1)/(N$26-N$25+1),IF(AND($G272&gt;=N$25,$I272&lt;=N$26),($I272-$G272+1)/(N$26-N$25+1),IF(AND($G272&lt;=N$25,$I272&gt;=N$26),1,IF(AND($G272&lt;=N$25,$I272&gt;=N$25),($I272-N$25+1)/(N$26-N$25+1),IF(AND($G272&lt;=N$26,$I272&gt;=N$26),(N$26-$G272+1)/(N$26-N$25+1),0)))))))</f>
        <v>0</v>
      </c>
      <c r="O272" s="170" t="n">
        <f aca="false">IF(AND(O$26&lt;=$G$224,$G272=Model_Start_Date),1,IF(AND(O$25&lt;=$G$224,O$26&lt;=$I$224,$G272=Model_Start_Date),1,IF(AND(O$25&lt;=$G$224,O$26&gt;=$G$224,$G272=Model_Start_Date),($I$224-O$25+1)/(O$26-O$25+1),IF(AND($G272&gt;=O$25,$I272&lt;=O$26),($I272-$G272+1)/(O$26-O$25+1),IF(AND($G272&lt;=O$25,$I272&gt;=O$26),1,IF(AND($G272&lt;=O$25,$I272&gt;=O$25),($I272-O$25+1)/(O$26-O$25+1),IF(AND($G272&lt;=O$26,$I272&gt;=O$26),(O$26-$G272+1)/(O$26-O$25+1),0)))))))</f>
        <v>0</v>
      </c>
      <c r="P272" s="170" t="n">
        <f aca="false">IF(AND(P$26&lt;=$G$224,$G272=Model_Start_Date),1,IF(AND(P$25&lt;=$G$224,P$26&lt;=$I$224,$G272=Model_Start_Date),1,IF(AND(P$25&lt;=$G$224,P$26&gt;=$G$224,$G272=Model_Start_Date),($I$224-P$25+1)/(P$26-P$25+1),IF(AND($G272&gt;=P$25,$I272&lt;=P$26),($I272-$G272+1)/(P$26-P$25+1),IF(AND($G272&lt;=P$25,$I272&gt;=P$26),1,IF(AND($G272&lt;=P$25,$I272&gt;=P$25),($I272-P$25+1)/(P$26-P$25+1),IF(AND($G272&lt;=P$26,$I272&gt;=P$26),(P$26-$G272+1)/(P$26-P$25+1),0)))))))</f>
        <v>0</v>
      </c>
    </row>
    <row r="273" customFormat="false" ht="13.8" hidden="false" customHeight="false" outlineLevel="0" collapsed="false">
      <c r="B273" s="1"/>
      <c r="D273" s="1"/>
      <c r="F273" s="5" t="e">
        <f aca="false">MATCH(G273,#REF!)</f>
        <v>#VALUE!</v>
      </c>
      <c r="G273" s="169" t="n">
        <f aca="false">IF(I272=0,Model_Start_Date,I272+1)</f>
        <v>47150</v>
      </c>
      <c r="H273" s="1"/>
      <c r="I273" s="169" t="n">
        <f aca="false">EOMONTH(G273,0)</f>
        <v>47177</v>
      </c>
      <c r="K273" s="15" t="s">
        <v>687</v>
      </c>
      <c r="L273" s="12"/>
      <c r="M273" s="170" t="n">
        <f aca="false">IF(AND(M$26&lt;=$G$224,$G273=Model_Start_Date),1,IF(AND(M$25&lt;=$G$224,M$26&lt;=$I$224,$G273=Model_Start_Date),1,IF(AND(M$25&lt;=$G$224,M$26&gt;=$G$224,$G273=Model_Start_Date),($I$224-M$25+1)/(M$26-M$25+1),IF(AND($G273&gt;=M$25,$I273&lt;=M$26),($I273-$G273+1)/(M$26-M$25+1),IF(AND($G273&lt;=M$25,$I273&gt;=M$26),1,IF(AND($G273&lt;=M$25,$I273&gt;=M$25),($I273-M$25+1)/(M$26-M$25+1),IF(AND($G273&lt;=M$26,$I273&gt;=M$26),(M$26-$G273+1)/(M$26-M$25+1),0)))))))</f>
        <v>0</v>
      </c>
      <c r="N273" s="170" t="n">
        <f aca="false">IF(AND(N$26&lt;=$G$224,$G273=Model_Start_Date),1,IF(AND(N$25&lt;=$G$224,N$26&lt;=$I$224,$G273=Model_Start_Date),1,IF(AND(N$25&lt;=$G$224,N$26&gt;=$G$224,$G273=Model_Start_Date),($I$224-N$25+1)/(N$26-N$25+1),IF(AND($G273&gt;=N$25,$I273&lt;=N$26),($I273-$G273+1)/(N$26-N$25+1),IF(AND($G273&lt;=N$25,$I273&gt;=N$26),1,IF(AND($G273&lt;=N$25,$I273&gt;=N$25),($I273-N$25+1)/(N$26-N$25+1),IF(AND($G273&lt;=N$26,$I273&gt;=N$26),(N$26-$G273+1)/(N$26-N$25+1),0)))))))</f>
        <v>0</v>
      </c>
      <c r="O273" s="170" t="n">
        <f aca="false">IF(AND(O$26&lt;=$G$224,$G273=Model_Start_Date),1,IF(AND(O$25&lt;=$G$224,O$26&lt;=$I$224,$G273=Model_Start_Date),1,IF(AND(O$25&lt;=$G$224,O$26&gt;=$G$224,$G273=Model_Start_Date),($I$224-O$25+1)/(O$26-O$25+1),IF(AND($G273&gt;=O$25,$I273&lt;=O$26),($I273-$G273+1)/(O$26-O$25+1),IF(AND($G273&lt;=O$25,$I273&gt;=O$26),1,IF(AND($G273&lt;=O$25,$I273&gt;=O$25),($I273-O$25+1)/(O$26-O$25+1),IF(AND($G273&lt;=O$26,$I273&gt;=O$26),(O$26-$G273+1)/(O$26-O$25+1),0)))))))</f>
        <v>0</v>
      </c>
      <c r="P273" s="170" t="n">
        <f aca="false">IF(AND(P$26&lt;=$G$224,$G273=Model_Start_Date),1,IF(AND(P$25&lt;=$G$224,P$26&lt;=$I$224,$G273=Model_Start_Date),1,IF(AND(P$25&lt;=$G$224,P$26&gt;=$G$224,$G273=Model_Start_Date),($I$224-P$25+1)/(P$26-P$25+1),IF(AND($G273&gt;=P$25,$I273&lt;=P$26),($I273-$G273+1)/(P$26-P$25+1),IF(AND($G273&lt;=P$25,$I273&gt;=P$26),1,IF(AND($G273&lt;=P$25,$I273&gt;=P$25),($I273-P$25+1)/(P$26-P$25+1),IF(AND($G273&lt;=P$26,$I273&gt;=P$26),(P$26-$G273+1)/(P$26-P$25+1),0)))))))</f>
        <v>0</v>
      </c>
    </row>
    <row r="274" customFormat="false" ht="13.8" hidden="false" customHeight="false" outlineLevel="0" collapsed="false">
      <c r="B274" s="1"/>
      <c r="D274" s="1"/>
      <c r="F274" s="5" t="e">
        <f aca="false">MATCH(G274,#REF!)</f>
        <v>#VALUE!</v>
      </c>
      <c r="G274" s="169" t="n">
        <f aca="false">IF(I273=0,Model_Start_Date,I273+1)</f>
        <v>47178</v>
      </c>
      <c r="H274" s="1"/>
      <c r="I274" s="169" t="n">
        <f aca="false">EOMONTH(G274,0)</f>
        <v>47208</v>
      </c>
      <c r="K274" s="15" t="s">
        <v>687</v>
      </c>
      <c r="L274" s="12"/>
      <c r="M274" s="170" t="n">
        <f aca="false">IF(AND(M$26&lt;=$G$224,$G274=Model_Start_Date),1,IF(AND(M$25&lt;=$G$224,M$26&lt;=$I$224,$G274=Model_Start_Date),1,IF(AND(M$25&lt;=$G$224,M$26&gt;=$G$224,$G274=Model_Start_Date),($I$224-M$25+1)/(M$26-M$25+1),IF(AND($G274&gt;=M$25,$I274&lt;=M$26),($I274-$G274+1)/(M$26-M$25+1),IF(AND($G274&lt;=M$25,$I274&gt;=M$26),1,IF(AND($G274&lt;=M$25,$I274&gt;=M$25),($I274-M$25+1)/(M$26-M$25+1),IF(AND($G274&lt;=M$26,$I274&gt;=M$26),(M$26-$G274+1)/(M$26-M$25+1),0)))))))</f>
        <v>0</v>
      </c>
      <c r="N274" s="170" t="n">
        <f aca="false">IF(AND(N$26&lt;=$G$224,$G274=Model_Start_Date),1,IF(AND(N$25&lt;=$G$224,N$26&lt;=$I$224,$G274=Model_Start_Date),1,IF(AND(N$25&lt;=$G$224,N$26&gt;=$G$224,$G274=Model_Start_Date),($I$224-N$25+1)/(N$26-N$25+1),IF(AND($G274&gt;=N$25,$I274&lt;=N$26),($I274-$G274+1)/(N$26-N$25+1),IF(AND($G274&lt;=N$25,$I274&gt;=N$26),1,IF(AND($G274&lt;=N$25,$I274&gt;=N$25),($I274-N$25+1)/(N$26-N$25+1),IF(AND($G274&lt;=N$26,$I274&gt;=N$26),(N$26-$G274+1)/(N$26-N$25+1),0)))))))</f>
        <v>0</v>
      </c>
      <c r="O274" s="170" t="n">
        <f aca="false">IF(AND(O$26&lt;=$G$224,$G274=Model_Start_Date),1,IF(AND(O$25&lt;=$G$224,O$26&lt;=$I$224,$G274=Model_Start_Date),1,IF(AND(O$25&lt;=$G$224,O$26&gt;=$G$224,$G274=Model_Start_Date),($I$224-O$25+1)/(O$26-O$25+1),IF(AND($G274&gt;=O$25,$I274&lt;=O$26),($I274-$G274+1)/(O$26-O$25+1),IF(AND($G274&lt;=O$25,$I274&gt;=O$26),1,IF(AND($G274&lt;=O$25,$I274&gt;=O$25),($I274-O$25+1)/(O$26-O$25+1),IF(AND($G274&lt;=O$26,$I274&gt;=O$26),(O$26-$G274+1)/(O$26-O$25+1),0)))))))</f>
        <v>0</v>
      </c>
      <c r="P274" s="170" t="n">
        <f aca="false">IF(AND(P$26&lt;=$G$224,$G274=Model_Start_Date),1,IF(AND(P$25&lt;=$G$224,P$26&lt;=$I$224,$G274=Model_Start_Date),1,IF(AND(P$25&lt;=$G$224,P$26&gt;=$G$224,$G274=Model_Start_Date),($I$224-P$25+1)/(P$26-P$25+1),IF(AND($G274&gt;=P$25,$I274&lt;=P$26),($I274-$G274+1)/(P$26-P$25+1),IF(AND($G274&lt;=P$25,$I274&gt;=P$26),1,IF(AND($G274&lt;=P$25,$I274&gt;=P$25),($I274-P$25+1)/(P$26-P$25+1),IF(AND($G274&lt;=P$26,$I274&gt;=P$26),(P$26-$G274+1)/(P$26-P$25+1),0)))))))</f>
        <v>0</v>
      </c>
    </row>
    <row r="275" customFormat="false" ht="13.8" hidden="false" customHeight="false" outlineLevel="0" collapsed="false">
      <c r="B275" s="1"/>
      <c r="D275" s="1"/>
      <c r="F275" s="5" t="e">
        <f aca="false">MATCH(G275,#REF!)</f>
        <v>#VALUE!</v>
      </c>
      <c r="G275" s="169" t="n">
        <f aca="false">IF(I274=0,Model_Start_Date,I274+1)</f>
        <v>47209</v>
      </c>
      <c r="H275" s="1"/>
      <c r="I275" s="169" t="n">
        <f aca="false">EOMONTH(G275,0)</f>
        <v>47238</v>
      </c>
      <c r="K275" s="15" t="s">
        <v>687</v>
      </c>
      <c r="L275" s="12"/>
      <c r="M275" s="170" t="n">
        <f aca="false">IF(AND(M$26&lt;=$G$224,$G275=Model_Start_Date),1,IF(AND(M$25&lt;=$G$224,M$26&lt;=$I$224,$G275=Model_Start_Date),1,IF(AND(M$25&lt;=$G$224,M$26&gt;=$G$224,$G275=Model_Start_Date),($I$224-M$25+1)/(M$26-M$25+1),IF(AND($G275&gt;=M$25,$I275&lt;=M$26),($I275-$G275+1)/(M$26-M$25+1),IF(AND($G275&lt;=M$25,$I275&gt;=M$26),1,IF(AND($G275&lt;=M$25,$I275&gt;=M$25),($I275-M$25+1)/(M$26-M$25+1),IF(AND($G275&lt;=M$26,$I275&gt;=M$26),(M$26-$G275+1)/(M$26-M$25+1),0)))))))</f>
        <v>0</v>
      </c>
      <c r="N275" s="170" t="n">
        <f aca="false">IF(AND(N$26&lt;=$G$224,$G275=Model_Start_Date),1,IF(AND(N$25&lt;=$G$224,N$26&lt;=$I$224,$G275=Model_Start_Date),1,IF(AND(N$25&lt;=$G$224,N$26&gt;=$G$224,$G275=Model_Start_Date),($I$224-N$25+1)/(N$26-N$25+1),IF(AND($G275&gt;=N$25,$I275&lt;=N$26),($I275-$G275+1)/(N$26-N$25+1),IF(AND($G275&lt;=N$25,$I275&gt;=N$26),1,IF(AND($G275&lt;=N$25,$I275&gt;=N$25),($I275-N$25+1)/(N$26-N$25+1),IF(AND($G275&lt;=N$26,$I275&gt;=N$26),(N$26-$G275+1)/(N$26-N$25+1),0)))))))</f>
        <v>0</v>
      </c>
      <c r="O275" s="170" t="n">
        <f aca="false">IF(AND(O$26&lt;=$G$224,$G275=Model_Start_Date),1,IF(AND(O$25&lt;=$G$224,O$26&lt;=$I$224,$G275=Model_Start_Date),1,IF(AND(O$25&lt;=$G$224,O$26&gt;=$G$224,$G275=Model_Start_Date),($I$224-O$25+1)/(O$26-O$25+1),IF(AND($G275&gt;=O$25,$I275&lt;=O$26),($I275-$G275+1)/(O$26-O$25+1),IF(AND($G275&lt;=O$25,$I275&gt;=O$26),1,IF(AND($G275&lt;=O$25,$I275&gt;=O$25),($I275-O$25+1)/(O$26-O$25+1),IF(AND($G275&lt;=O$26,$I275&gt;=O$26),(O$26-$G275+1)/(O$26-O$25+1),0)))))))</f>
        <v>0</v>
      </c>
      <c r="P275" s="170" t="n">
        <f aca="false">IF(AND(P$26&lt;=$G$224,$G275=Model_Start_Date),1,IF(AND(P$25&lt;=$G$224,P$26&lt;=$I$224,$G275=Model_Start_Date),1,IF(AND(P$25&lt;=$G$224,P$26&gt;=$G$224,$G275=Model_Start_Date),($I$224-P$25+1)/(P$26-P$25+1),IF(AND($G275&gt;=P$25,$I275&lt;=P$26),($I275-$G275+1)/(P$26-P$25+1),IF(AND($G275&lt;=P$25,$I275&gt;=P$26),1,IF(AND($G275&lt;=P$25,$I275&gt;=P$25),($I275-P$25+1)/(P$26-P$25+1),IF(AND($G275&lt;=P$26,$I275&gt;=P$26),(P$26-$G275+1)/(P$26-P$25+1),0)))))))</f>
        <v>0</v>
      </c>
    </row>
    <row r="276" customFormat="false" ht="13.8" hidden="false" customHeight="false" outlineLevel="0" collapsed="false">
      <c r="B276" s="1"/>
      <c r="D276" s="1"/>
      <c r="F276" s="5" t="e">
        <f aca="false">MATCH(G276,#REF!)</f>
        <v>#VALUE!</v>
      </c>
      <c r="G276" s="169" t="n">
        <f aca="false">IF(I275=0,Model_Start_Date,I275+1)</f>
        <v>47239</v>
      </c>
      <c r="H276" s="1"/>
      <c r="I276" s="169" t="n">
        <f aca="false">EOMONTH(G276,0)</f>
        <v>47269</v>
      </c>
      <c r="K276" s="15" t="s">
        <v>687</v>
      </c>
      <c r="L276" s="12"/>
      <c r="M276" s="170" t="n">
        <f aca="false">IF(AND(M$26&lt;=$G$224,$G276=Model_Start_Date),1,IF(AND(M$25&lt;=$G$224,M$26&lt;=$I$224,$G276=Model_Start_Date),1,IF(AND(M$25&lt;=$G$224,M$26&gt;=$G$224,$G276=Model_Start_Date),($I$224-M$25+1)/(M$26-M$25+1),IF(AND($G276&gt;=M$25,$I276&lt;=M$26),($I276-$G276+1)/(M$26-M$25+1),IF(AND($G276&lt;=M$25,$I276&gt;=M$26),1,IF(AND($G276&lt;=M$25,$I276&gt;=M$25),($I276-M$25+1)/(M$26-M$25+1),IF(AND($G276&lt;=M$26,$I276&gt;=M$26),(M$26-$G276+1)/(M$26-M$25+1),0)))))))</f>
        <v>0</v>
      </c>
      <c r="N276" s="170" t="n">
        <f aca="false">IF(AND(N$26&lt;=$G$224,$G276=Model_Start_Date),1,IF(AND(N$25&lt;=$G$224,N$26&lt;=$I$224,$G276=Model_Start_Date),1,IF(AND(N$25&lt;=$G$224,N$26&gt;=$G$224,$G276=Model_Start_Date),($I$224-N$25+1)/(N$26-N$25+1),IF(AND($G276&gt;=N$25,$I276&lt;=N$26),($I276-$G276+1)/(N$26-N$25+1),IF(AND($G276&lt;=N$25,$I276&gt;=N$26),1,IF(AND($G276&lt;=N$25,$I276&gt;=N$25),($I276-N$25+1)/(N$26-N$25+1),IF(AND($G276&lt;=N$26,$I276&gt;=N$26),(N$26-$G276+1)/(N$26-N$25+1),0)))))))</f>
        <v>0</v>
      </c>
      <c r="O276" s="170" t="n">
        <f aca="false">IF(AND(O$26&lt;=$G$224,$G276=Model_Start_Date),1,IF(AND(O$25&lt;=$G$224,O$26&lt;=$I$224,$G276=Model_Start_Date),1,IF(AND(O$25&lt;=$G$224,O$26&gt;=$G$224,$G276=Model_Start_Date),($I$224-O$25+1)/(O$26-O$25+1),IF(AND($G276&gt;=O$25,$I276&lt;=O$26),($I276-$G276+1)/(O$26-O$25+1),IF(AND($G276&lt;=O$25,$I276&gt;=O$26),1,IF(AND($G276&lt;=O$25,$I276&gt;=O$25),($I276-O$25+1)/(O$26-O$25+1),IF(AND($G276&lt;=O$26,$I276&gt;=O$26),(O$26-$G276+1)/(O$26-O$25+1),0)))))))</f>
        <v>0</v>
      </c>
      <c r="P276" s="170" t="n">
        <f aca="false">IF(AND(P$26&lt;=$G$224,$G276=Model_Start_Date),1,IF(AND(P$25&lt;=$G$224,P$26&lt;=$I$224,$G276=Model_Start_Date),1,IF(AND(P$25&lt;=$G$224,P$26&gt;=$G$224,$G276=Model_Start_Date),($I$224-P$25+1)/(P$26-P$25+1),IF(AND($G276&gt;=P$25,$I276&lt;=P$26),($I276-$G276+1)/(P$26-P$25+1),IF(AND($G276&lt;=P$25,$I276&gt;=P$26),1,IF(AND($G276&lt;=P$25,$I276&gt;=P$25),($I276-P$25+1)/(P$26-P$25+1),IF(AND($G276&lt;=P$26,$I276&gt;=P$26),(P$26-$G276+1)/(P$26-P$25+1),0)))))))</f>
        <v>0</v>
      </c>
    </row>
    <row r="277" customFormat="false" ht="13.8" hidden="false" customHeight="false" outlineLevel="0" collapsed="false">
      <c r="B277" s="1"/>
      <c r="D277" s="1"/>
      <c r="F277" s="5" t="e">
        <f aca="false">MATCH(G277,#REF!)</f>
        <v>#VALUE!</v>
      </c>
      <c r="G277" s="169" t="n">
        <f aca="false">IF(I276=0,Model_Start_Date,I276+1)</f>
        <v>47270</v>
      </c>
      <c r="H277" s="1"/>
      <c r="I277" s="169" t="n">
        <f aca="false">EOMONTH(G277,0)</f>
        <v>47299</v>
      </c>
      <c r="K277" s="15" t="s">
        <v>687</v>
      </c>
      <c r="L277" s="12"/>
      <c r="M277" s="170" t="n">
        <f aca="false">IF(AND(M$26&lt;=$G$224,$G277=Model_Start_Date),1,IF(AND(M$25&lt;=$G$224,M$26&lt;=$I$224,$G277=Model_Start_Date),1,IF(AND(M$25&lt;=$G$224,M$26&gt;=$G$224,$G277=Model_Start_Date),($I$224-M$25+1)/(M$26-M$25+1),IF(AND($G277&gt;=M$25,$I277&lt;=M$26),($I277-$G277+1)/(M$26-M$25+1),IF(AND($G277&lt;=M$25,$I277&gt;=M$26),1,IF(AND($G277&lt;=M$25,$I277&gt;=M$25),($I277-M$25+1)/(M$26-M$25+1),IF(AND($G277&lt;=M$26,$I277&gt;=M$26),(M$26-$G277+1)/(M$26-M$25+1),0)))))))</f>
        <v>0</v>
      </c>
      <c r="N277" s="170" t="n">
        <f aca="false">IF(AND(N$26&lt;=$G$224,$G277=Model_Start_Date),1,IF(AND(N$25&lt;=$G$224,N$26&lt;=$I$224,$G277=Model_Start_Date),1,IF(AND(N$25&lt;=$G$224,N$26&gt;=$G$224,$G277=Model_Start_Date),($I$224-N$25+1)/(N$26-N$25+1),IF(AND($G277&gt;=N$25,$I277&lt;=N$26),($I277-$G277+1)/(N$26-N$25+1),IF(AND($G277&lt;=N$25,$I277&gt;=N$26),1,IF(AND($G277&lt;=N$25,$I277&gt;=N$25),($I277-N$25+1)/(N$26-N$25+1),IF(AND($G277&lt;=N$26,$I277&gt;=N$26),(N$26-$G277+1)/(N$26-N$25+1),0)))))))</f>
        <v>0</v>
      </c>
      <c r="O277" s="170" t="n">
        <f aca="false">IF(AND(O$26&lt;=$G$224,$G277=Model_Start_Date),1,IF(AND(O$25&lt;=$G$224,O$26&lt;=$I$224,$G277=Model_Start_Date),1,IF(AND(O$25&lt;=$G$224,O$26&gt;=$G$224,$G277=Model_Start_Date),($I$224-O$25+1)/(O$26-O$25+1),IF(AND($G277&gt;=O$25,$I277&lt;=O$26),($I277-$G277+1)/(O$26-O$25+1),IF(AND($G277&lt;=O$25,$I277&gt;=O$26),1,IF(AND($G277&lt;=O$25,$I277&gt;=O$25),($I277-O$25+1)/(O$26-O$25+1),IF(AND($G277&lt;=O$26,$I277&gt;=O$26),(O$26-$G277+1)/(O$26-O$25+1),0)))))))</f>
        <v>0</v>
      </c>
      <c r="P277" s="170" t="n">
        <f aca="false">IF(AND(P$26&lt;=$G$224,$G277=Model_Start_Date),1,IF(AND(P$25&lt;=$G$224,P$26&lt;=$I$224,$G277=Model_Start_Date),1,IF(AND(P$25&lt;=$G$224,P$26&gt;=$G$224,$G277=Model_Start_Date),($I$224-P$25+1)/(P$26-P$25+1),IF(AND($G277&gt;=P$25,$I277&lt;=P$26),($I277-$G277+1)/(P$26-P$25+1),IF(AND($G277&lt;=P$25,$I277&gt;=P$26),1,IF(AND($G277&lt;=P$25,$I277&gt;=P$25),($I277-P$25+1)/(P$26-P$25+1),IF(AND($G277&lt;=P$26,$I277&gt;=P$26),(P$26-$G277+1)/(P$26-P$25+1),0)))))))</f>
        <v>0</v>
      </c>
    </row>
    <row r="278" customFormat="false" ht="13.8" hidden="false" customHeight="false" outlineLevel="0" collapsed="false">
      <c r="B278" s="1"/>
      <c r="D278" s="1"/>
      <c r="F278" s="5" t="e">
        <f aca="false">MATCH(G278,#REF!)</f>
        <v>#VALUE!</v>
      </c>
      <c r="G278" s="169" t="n">
        <f aca="false">IF(I277=0,Model_Start_Date,I277+1)</f>
        <v>47300</v>
      </c>
      <c r="H278" s="1"/>
      <c r="I278" s="169" t="n">
        <f aca="false">EOMONTH(G278,0)</f>
        <v>47330</v>
      </c>
      <c r="K278" s="15" t="s">
        <v>687</v>
      </c>
      <c r="L278" s="12"/>
      <c r="M278" s="170" t="n">
        <f aca="false">IF(AND(M$26&lt;=$G$224,$G278=Model_Start_Date),1,IF(AND(M$25&lt;=$G$224,M$26&lt;=$I$224,$G278=Model_Start_Date),1,IF(AND(M$25&lt;=$G$224,M$26&gt;=$G$224,$G278=Model_Start_Date),($I$224-M$25+1)/(M$26-M$25+1),IF(AND($G278&gt;=M$25,$I278&lt;=M$26),($I278-$G278+1)/(M$26-M$25+1),IF(AND($G278&lt;=M$25,$I278&gt;=M$26),1,IF(AND($G278&lt;=M$25,$I278&gt;=M$25),($I278-M$25+1)/(M$26-M$25+1),IF(AND($G278&lt;=M$26,$I278&gt;=M$26),(M$26-$G278+1)/(M$26-M$25+1),0)))))))</f>
        <v>0</v>
      </c>
      <c r="N278" s="170" t="n">
        <f aca="false">IF(AND(N$26&lt;=$G$224,$G278=Model_Start_Date),1,IF(AND(N$25&lt;=$G$224,N$26&lt;=$I$224,$G278=Model_Start_Date),1,IF(AND(N$25&lt;=$G$224,N$26&gt;=$G$224,$G278=Model_Start_Date),($I$224-N$25+1)/(N$26-N$25+1),IF(AND($G278&gt;=N$25,$I278&lt;=N$26),($I278-$G278+1)/(N$26-N$25+1),IF(AND($G278&lt;=N$25,$I278&gt;=N$26),1,IF(AND($G278&lt;=N$25,$I278&gt;=N$25),($I278-N$25+1)/(N$26-N$25+1),IF(AND($G278&lt;=N$26,$I278&gt;=N$26),(N$26-$G278+1)/(N$26-N$25+1),0)))))))</f>
        <v>0</v>
      </c>
      <c r="O278" s="170" t="n">
        <f aca="false">IF(AND(O$26&lt;=$G$224,$G278=Model_Start_Date),1,IF(AND(O$25&lt;=$G$224,O$26&lt;=$I$224,$G278=Model_Start_Date),1,IF(AND(O$25&lt;=$G$224,O$26&gt;=$G$224,$G278=Model_Start_Date),($I$224-O$25+1)/(O$26-O$25+1),IF(AND($G278&gt;=O$25,$I278&lt;=O$26),($I278-$G278+1)/(O$26-O$25+1),IF(AND($G278&lt;=O$25,$I278&gt;=O$26),1,IF(AND($G278&lt;=O$25,$I278&gt;=O$25),($I278-O$25+1)/(O$26-O$25+1),IF(AND($G278&lt;=O$26,$I278&gt;=O$26),(O$26-$G278+1)/(O$26-O$25+1),0)))))))</f>
        <v>0</v>
      </c>
      <c r="P278" s="170" t="n">
        <f aca="false">IF(AND(P$26&lt;=$G$224,$G278=Model_Start_Date),1,IF(AND(P$25&lt;=$G$224,P$26&lt;=$I$224,$G278=Model_Start_Date),1,IF(AND(P$25&lt;=$G$224,P$26&gt;=$G$224,$G278=Model_Start_Date),($I$224-P$25+1)/(P$26-P$25+1),IF(AND($G278&gt;=P$25,$I278&lt;=P$26),($I278-$G278+1)/(P$26-P$25+1),IF(AND($G278&lt;=P$25,$I278&gt;=P$26),1,IF(AND($G278&lt;=P$25,$I278&gt;=P$25),($I278-P$25+1)/(P$26-P$25+1),IF(AND($G278&lt;=P$26,$I278&gt;=P$26),(P$26-$G278+1)/(P$26-P$25+1),0)))))))</f>
        <v>0</v>
      </c>
    </row>
    <row r="279" customFormat="false" ht="13.8" hidden="false" customHeight="false" outlineLevel="0" collapsed="false">
      <c r="B279" s="1"/>
      <c r="D279" s="1"/>
      <c r="F279" s="5" t="e">
        <f aca="false">MATCH(G279,#REF!)</f>
        <v>#VALUE!</v>
      </c>
      <c r="G279" s="169" t="n">
        <f aca="false">IF(I278=0,Model_Start_Date,I278+1)</f>
        <v>47331</v>
      </c>
      <c r="H279" s="1"/>
      <c r="I279" s="169" t="n">
        <f aca="false">EOMONTH(G279,0)</f>
        <v>47361</v>
      </c>
      <c r="K279" s="15" t="s">
        <v>687</v>
      </c>
      <c r="L279" s="12"/>
      <c r="M279" s="170" t="n">
        <f aca="false">IF(AND(M$26&lt;=$G$224,$G279=Model_Start_Date),1,IF(AND(M$25&lt;=$G$224,M$26&lt;=$I$224,$G279=Model_Start_Date),1,IF(AND(M$25&lt;=$G$224,M$26&gt;=$G$224,$G279=Model_Start_Date),($I$224-M$25+1)/(M$26-M$25+1),IF(AND($G279&gt;=M$25,$I279&lt;=M$26),($I279-$G279+1)/(M$26-M$25+1),IF(AND($G279&lt;=M$25,$I279&gt;=M$26),1,IF(AND($G279&lt;=M$25,$I279&gt;=M$25),($I279-M$25+1)/(M$26-M$25+1),IF(AND($G279&lt;=M$26,$I279&gt;=M$26),(M$26-$G279+1)/(M$26-M$25+1),0)))))))</f>
        <v>0</v>
      </c>
      <c r="N279" s="170" t="n">
        <f aca="false">IF(AND(N$26&lt;=$G$224,$G279=Model_Start_Date),1,IF(AND(N$25&lt;=$G$224,N$26&lt;=$I$224,$G279=Model_Start_Date),1,IF(AND(N$25&lt;=$G$224,N$26&gt;=$G$224,$G279=Model_Start_Date),($I$224-N$25+1)/(N$26-N$25+1),IF(AND($G279&gt;=N$25,$I279&lt;=N$26),($I279-$G279+1)/(N$26-N$25+1),IF(AND($G279&lt;=N$25,$I279&gt;=N$26),1,IF(AND($G279&lt;=N$25,$I279&gt;=N$25),($I279-N$25+1)/(N$26-N$25+1),IF(AND($G279&lt;=N$26,$I279&gt;=N$26),(N$26-$G279+1)/(N$26-N$25+1),0)))))))</f>
        <v>0</v>
      </c>
      <c r="O279" s="170" t="n">
        <f aca="false">IF(AND(O$26&lt;=$G$224,$G279=Model_Start_Date),1,IF(AND(O$25&lt;=$G$224,O$26&lt;=$I$224,$G279=Model_Start_Date),1,IF(AND(O$25&lt;=$G$224,O$26&gt;=$G$224,$G279=Model_Start_Date),($I$224-O$25+1)/(O$26-O$25+1),IF(AND($G279&gt;=O$25,$I279&lt;=O$26),($I279-$G279+1)/(O$26-O$25+1),IF(AND($G279&lt;=O$25,$I279&gt;=O$26),1,IF(AND($G279&lt;=O$25,$I279&gt;=O$25),($I279-O$25+1)/(O$26-O$25+1),IF(AND($G279&lt;=O$26,$I279&gt;=O$26),(O$26-$G279+1)/(O$26-O$25+1),0)))))))</f>
        <v>0</v>
      </c>
      <c r="P279" s="170" t="n">
        <f aca="false">IF(AND(P$26&lt;=$G$224,$G279=Model_Start_Date),1,IF(AND(P$25&lt;=$G$224,P$26&lt;=$I$224,$G279=Model_Start_Date),1,IF(AND(P$25&lt;=$G$224,P$26&gt;=$G$224,$G279=Model_Start_Date),($I$224-P$25+1)/(P$26-P$25+1),IF(AND($G279&gt;=P$25,$I279&lt;=P$26),($I279-$G279+1)/(P$26-P$25+1),IF(AND($G279&lt;=P$25,$I279&gt;=P$26),1,IF(AND($G279&lt;=P$25,$I279&gt;=P$25),($I279-P$25+1)/(P$26-P$25+1),IF(AND($G279&lt;=P$26,$I279&gt;=P$26),(P$26-$G279+1)/(P$26-P$25+1),0)))))))</f>
        <v>0</v>
      </c>
    </row>
    <row r="280" customFormat="false" ht="13.8" hidden="false" customHeight="false" outlineLevel="0" collapsed="false">
      <c r="B280" s="1"/>
      <c r="D280" s="1"/>
      <c r="F280" s="5" t="e">
        <f aca="false">MATCH(G280,#REF!)</f>
        <v>#VALUE!</v>
      </c>
      <c r="G280" s="169" t="n">
        <f aca="false">IF(I279=0,Model_Start_Date,I279+1)</f>
        <v>47362</v>
      </c>
      <c r="H280" s="1"/>
      <c r="I280" s="169" t="n">
        <f aca="false">EOMONTH(G280,0)</f>
        <v>47391</v>
      </c>
      <c r="K280" s="15" t="s">
        <v>687</v>
      </c>
      <c r="L280" s="12"/>
      <c r="M280" s="170" t="n">
        <f aca="false">IF(AND(M$26&lt;=$G$224,$G280=Model_Start_Date),1,IF(AND(M$25&lt;=$G$224,M$26&lt;=$I$224,$G280=Model_Start_Date),1,IF(AND(M$25&lt;=$G$224,M$26&gt;=$G$224,$G280=Model_Start_Date),($I$224-M$25+1)/(M$26-M$25+1),IF(AND($G280&gt;=M$25,$I280&lt;=M$26),($I280-$G280+1)/(M$26-M$25+1),IF(AND($G280&lt;=M$25,$I280&gt;=M$26),1,IF(AND($G280&lt;=M$25,$I280&gt;=M$25),($I280-M$25+1)/(M$26-M$25+1),IF(AND($G280&lt;=M$26,$I280&gt;=M$26),(M$26-$G280+1)/(M$26-M$25+1),0)))))))</f>
        <v>0</v>
      </c>
      <c r="N280" s="170" t="n">
        <f aca="false">IF(AND(N$26&lt;=$G$224,$G280=Model_Start_Date),1,IF(AND(N$25&lt;=$G$224,N$26&lt;=$I$224,$G280=Model_Start_Date),1,IF(AND(N$25&lt;=$G$224,N$26&gt;=$G$224,$G280=Model_Start_Date),($I$224-N$25+1)/(N$26-N$25+1),IF(AND($G280&gt;=N$25,$I280&lt;=N$26),($I280-$G280+1)/(N$26-N$25+1),IF(AND($G280&lt;=N$25,$I280&gt;=N$26),1,IF(AND($G280&lt;=N$25,$I280&gt;=N$25),($I280-N$25+1)/(N$26-N$25+1),IF(AND($G280&lt;=N$26,$I280&gt;=N$26),(N$26-$G280+1)/(N$26-N$25+1),0)))))))</f>
        <v>0</v>
      </c>
      <c r="O280" s="170" t="n">
        <f aca="false">IF(AND(O$26&lt;=$G$224,$G280=Model_Start_Date),1,IF(AND(O$25&lt;=$G$224,O$26&lt;=$I$224,$G280=Model_Start_Date),1,IF(AND(O$25&lt;=$G$224,O$26&gt;=$G$224,$G280=Model_Start_Date),($I$224-O$25+1)/(O$26-O$25+1),IF(AND($G280&gt;=O$25,$I280&lt;=O$26),($I280-$G280+1)/(O$26-O$25+1),IF(AND($G280&lt;=O$25,$I280&gt;=O$26),1,IF(AND($G280&lt;=O$25,$I280&gt;=O$25),($I280-O$25+1)/(O$26-O$25+1),IF(AND($G280&lt;=O$26,$I280&gt;=O$26),(O$26-$G280+1)/(O$26-O$25+1),0)))))))</f>
        <v>0</v>
      </c>
      <c r="P280" s="170" t="n">
        <f aca="false">IF(AND(P$26&lt;=$G$224,$G280=Model_Start_Date),1,IF(AND(P$25&lt;=$G$224,P$26&lt;=$I$224,$G280=Model_Start_Date),1,IF(AND(P$25&lt;=$G$224,P$26&gt;=$G$224,$G280=Model_Start_Date),($I$224-P$25+1)/(P$26-P$25+1),IF(AND($G280&gt;=P$25,$I280&lt;=P$26),($I280-$G280+1)/(P$26-P$25+1),IF(AND($G280&lt;=P$25,$I280&gt;=P$26),1,IF(AND($G280&lt;=P$25,$I280&gt;=P$25),($I280-P$25+1)/(P$26-P$25+1),IF(AND($G280&lt;=P$26,$I280&gt;=P$26),(P$26-$G280+1)/(P$26-P$25+1),0)))))))</f>
        <v>0</v>
      </c>
    </row>
    <row r="281" customFormat="false" ht="13.8" hidden="false" customHeight="false" outlineLevel="0" collapsed="false">
      <c r="B281" s="1"/>
      <c r="D281" s="1"/>
      <c r="F281" s="5" t="e">
        <f aca="false">MATCH(G281,#REF!)</f>
        <v>#VALUE!</v>
      </c>
      <c r="G281" s="169" t="n">
        <f aca="false">IF(I280=0,Model_Start_Date,I280+1)</f>
        <v>47392</v>
      </c>
      <c r="H281" s="1"/>
      <c r="I281" s="169" t="n">
        <f aca="false">EOMONTH(G281,0)</f>
        <v>47422</v>
      </c>
      <c r="K281" s="15" t="s">
        <v>687</v>
      </c>
      <c r="L281" s="12"/>
      <c r="M281" s="170" t="n">
        <f aca="false">IF(AND(M$26&lt;=$G$224,$G281=Model_Start_Date),1,IF(AND(M$25&lt;=$G$224,M$26&lt;=$I$224,$G281=Model_Start_Date),1,IF(AND(M$25&lt;=$G$224,M$26&gt;=$G$224,$G281=Model_Start_Date),($I$224-M$25+1)/(M$26-M$25+1),IF(AND($G281&gt;=M$25,$I281&lt;=M$26),($I281-$G281+1)/(M$26-M$25+1),IF(AND($G281&lt;=M$25,$I281&gt;=M$26),1,IF(AND($G281&lt;=M$25,$I281&gt;=M$25),($I281-M$25+1)/(M$26-M$25+1),IF(AND($G281&lt;=M$26,$I281&gt;=M$26),(M$26-$G281+1)/(M$26-M$25+1),0)))))))</f>
        <v>0</v>
      </c>
      <c r="N281" s="170" t="n">
        <f aca="false">IF(AND(N$26&lt;=$G$224,$G281=Model_Start_Date),1,IF(AND(N$25&lt;=$G$224,N$26&lt;=$I$224,$G281=Model_Start_Date),1,IF(AND(N$25&lt;=$G$224,N$26&gt;=$G$224,$G281=Model_Start_Date),($I$224-N$25+1)/(N$26-N$25+1),IF(AND($G281&gt;=N$25,$I281&lt;=N$26),($I281-$G281+1)/(N$26-N$25+1),IF(AND($G281&lt;=N$25,$I281&gt;=N$26),1,IF(AND($G281&lt;=N$25,$I281&gt;=N$25),($I281-N$25+1)/(N$26-N$25+1),IF(AND($G281&lt;=N$26,$I281&gt;=N$26),(N$26-$G281+1)/(N$26-N$25+1),0)))))))</f>
        <v>0</v>
      </c>
      <c r="O281" s="170" t="n">
        <f aca="false">IF(AND(O$26&lt;=$G$224,$G281=Model_Start_Date),1,IF(AND(O$25&lt;=$G$224,O$26&lt;=$I$224,$G281=Model_Start_Date),1,IF(AND(O$25&lt;=$G$224,O$26&gt;=$G$224,$G281=Model_Start_Date),($I$224-O$25+1)/(O$26-O$25+1),IF(AND($G281&gt;=O$25,$I281&lt;=O$26),($I281-$G281+1)/(O$26-O$25+1),IF(AND($G281&lt;=O$25,$I281&gt;=O$26),1,IF(AND($G281&lt;=O$25,$I281&gt;=O$25),($I281-O$25+1)/(O$26-O$25+1),IF(AND($G281&lt;=O$26,$I281&gt;=O$26),(O$26-$G281+1)/(O$26-O$25+1),0)))))))</f>
        <v>0</v>
      </c>
      <c r="P281" s="170" t="n">
        <f aca="false">IF(AND(P$26&lt;=$G$224,$G281=Model_Start_Date),1,IF(AND(P$25&lt;=$G$224,P$26&lt;=$I$224,$G281=Model_Start_Date),1,IF(AND(P$25&lt;=$G$224,P$26&gt;=$G$224,$G281=Model_Start_Date),($I$224-P$25+1)/(P$26-P$25+1),IF(AND($G281&gt;=P$25,$I281&lt;=P$26),($I281-$G281+1)/(P$26-P$25+1),IF(AND($G281&lt;=P$25,$I281&gt;=P$26),1,IF(AND($G281&lt;=P$25,$I281&gt;=P$25),($I281-P$25+1)/(P$26-P$25+1),IF(AND($G281&lt;=P$26,$I281&gt;=P$26),(P$26-$G281+1)/(P$26-P$25+1),0)))))))</f>
        <v>0</v>
      </c>
    </row>
    <row r="282" customFormat="false" ht="13.8" hidden="false" customHeight="false" outlineLevel="0" collapsed="false">
      <c r="B282" s="1"/>
      <c r="D282" s="1"/>
      <c r="F282" s="5" t="e">
        <f aca="false">MATCH(G282,#REF!)</f>
        <v>#VALUE!</v>
      </c>
      <c r="G282" s="169" t="n">
        <f aca="false">IF(I281=0,Model_Start_Date,I281+1)</f>
        <v>47423</v>
      </c>
      <c r="H282" s="1"/>
      <c r="I282" s="169" t="n">
        <f aca="false">EOMONTH(G282,0)</f>
        <v>47452</v>
      </c>
      <c r="K282" s="15" t="s">
        <v>687</v>
      </c>
      <c r="L282" s="12"/>
      <c r="M282" s="170" t="n">
        <f aca="false">IF(AND(M$26&lt;=$G$224,$G282=Model_Start_Date),1,IF(AND(M$25&lt;=$G$224,M$26&lt;=$I$224,$G282=Model_Start_Date),1,IF(AND(M$25&lt;=$G$224,M$26&gt;=$G$224,$G282=Model_Start_Date),($I$224-M$25+1)/(M$26-M$25+1),IF(AND($G282&gt;=M$25,$I282&lt;=M$26),($I282-$G282+1)/(M$26-M$25+1),IF(AND($G282&lt;=M$25,$I282&gt;=M$26),1,IF(AND($G282&lt;=M$25,$I282&gt;=M$25),($I282-M$25+1)/(M$26-M$25+1),IF(AND($G282&lt;=M$26,$I282&gt;=M$26),(M$26-$G282+1)/(M$26-M$25+1),0)))))))</f>
        <v>0</v>
      </c>
      <c r="N282" s="170" t="n">
        <f aca="false">IF(AND(N$26&lt;=$G$224,$G282=Model_Start_Date),1,IF(AND(N$25&lt;=$G$224,N$26&lt;=$I$224,$G282=Model_Start_Date),1,IF(AND(N$25&lt;=$G$224,N$26&gt;=$G$224,$G282=Model_Start_Date),($I$224-N$25+1)/(N$26-N$25+1),IF(AND($G282&gt;=N$25,$I282&lt;=N$26),($I282-$G282+1)/(N$26-N$25+1),IF(AND($G282&lt;=N$25,$I282&gt;=N$26),1,IF(AND($G282&lt;=N$25,$I282&gt;=N$25),($I282-N$25+1)/(N$26-N$25+1),IF(AND($G282&lt;=N$26,$I282&gt;=N$26),(N$26-$G282+1)/(N$26-N$25+1),0)))))))</f>
        <v>0</v>
      </c>
      <c r="O282" s="170" t="n">
        <f aca="false">IF(AND(O$26&lt;=$G$224,$G282=Model_Start_Date),1,IF(AND(O$25&lt;=$G$224,O$26&lt;=$I$224,$G282=Model_Start_Date),1,IF(AND(O$25&lt;=$G$224,O$26&gt;=$G$224,$G282=Model_Start_Date),($I$224-O$25+1)/(O$26-O$25+1),IF(AND($G282&gt;=O$25,$I282&lt;=O$26),($I282-$G282+1)/(O$26-O$25+1),IF(AND($G282&lt;=O$25,$I282&gt;=O$26),1,IF(AND($G282&lt;=O$25,$I282&gt;=O$25),($I282-O$25+1)/(O$26-O$25+1),IF(AND($G282&lt;=O$26,$I282&gt;=O$26),(O$26-$G282+1)/(O$26-O$25+1),0)))))))</f>
        <v>0</v>
      </c>
      <c r="P282" s="170" t="n">
        <f aca="false">IF(AND(P$26&lt;=$G$224,$G282=Model_Start_Date),1,IF(AND(P$25&lt;=$G$224,P$26&lt;=$I$224,$G282=Model_Start_Date),1,IF(AND(P$25&lt;=$G$224,P$26&gt;=$G$224,$G282=Model_Start_Date),($I$224-P$25+1)/(P$26-P$25+1),IF(AND($G282&gt;=P$25,$I282&lt;=P$26),($I282-$G282+1)/(P$26-P$25+1),IF(AND($G282&lt;=P$25,$I282&gt;=P$26),1,IF(AND($G282&lt;=P$25,$I282&gt;=P$25),($I282-P$25+1)/(P$26-P$25+1),IF(AND($G282&lt;=P$26,$I282&gt;=P$26),(P$26-$G282+1)/(P$26-P$25+1),0)))))))</f>
        <v>0</v>
      </c>
    </row>
    <row r="283" customFormat="false" ht="13.8" hidden="false" customHeight="false" outlineLevel="0" collapsed="false">
      <c r="B283" s="1"/>
      <c r="D283" s="1"/>
      <c r="F283" s="5" t="e">
        <f aca="false">MATCH(G283,#REF!)</f>
        <v>#VALUE!</v>
      </c>
      <c r="G283" s="169" t="n">
        <f aca="false">IF(I282=0,Model_Start_Date,I282+1)</f>
        <v>47453</v>
      </c>
      <c r="H283" s="1"/>
      <c r="I283" s="169" t="n">
        <f aca="false">EOMONTH(G283,0)</f>
        <v>47483</v>
      </c>
      <c r="K283" s="15" t="s">
        <v>687</v>
      </c>
      <c r="L283" s="12"/>
      <c r="M283" s="170" t="n">
        <f aca="false">IF(AND(M$26&lt;=$G$224,$G283=Model_Start_Date),1,IF(AND(M$25&lt;=$G$224,M$26&lt;=$I$224,$G283=Model_Start_Date),1,IF(AND(M$25&lt;=$G$224,M$26&gt;=$G$224,$G283=Model_Start_Date),($I$224-M$25+1)/(M$26-M$25+1),IF(AND($G283&gt;=M$25,$I283&lt;=M$26),($I283-$G283+1)/(M$26-M$25+1),IF(AND($G283&lt;=M$25,$I283&gt;=M$26),1,IF(AND($G283&lt;=M$25,$I283&gt;=M$25),($I283-M$25+1)/(M$26-M$25+1),IF(AND($G283&lt;=M$26,$I283&gt;=M$26),(M$26-$G283+1)/(M$26-M$25+1),0)))))))</f>
        <v>0</v>
      </c>
      <c r="N283" s="170" t="n">
        <f aca="false">IF(AND(N$26&lt;=$G$224,$G283=Model_Start_Date),1,IF(AND(N$25&lt;=$G$224,N$26&lt;=$I$224,$G283=Model_Start_Date),1,IF(AND(N$25&lt;=$G$224,N$26&gt;=$G$224,$G283=Model_Start_Date),($I$224-N$25+1)/(N$26-N$25+1),IF(AND($G283&gt;=N$25,$I283&lt;=N$26),($I283-$G283+1)/(N$26-N$25+1),IF(AND($G283&lt;=N$25,$I283&gt;=N$26),1,IF(AND($G283&lt;=N$25,$I283&gt;=N$25),($I283-N$25+1)/(N$26-N$25+1),IF(AND($G283&lt;=N$26,$I283&gt;=N$26),(N$26-$G283+1)/(N$26-N$25+1),0)))))))</f>
        <v>0</v>
      </c>
      <c r="O283" s="170" t="n">
        <f aca="false">IF(AND(O$26&lt;=$G$224,$G283=Model_Start_Date),1,IF(AND(O$25&lt;=$G$224,O$26&lt;=$I$224,$G283=Model_Start_Date),1,IF(AND(O$25&lt;=$G$224,O$26&gt;=$G$224,$G283=Model_Start_Date),($I$224-O$25+1)/(O$26-O$25+1),IF(AND($G283&gt;=O$25,$I283&lt;=O$26),($I283-$G283+1)/(O$26-O$25+1),IF(AND($G283&lt;=O$25,$I283&gt;=O$26),1,IF(AND($G283&lt;=O$25,$I283&gt;=O$25),($I283-O$25+1)/(O$26-O$25+1),IF(AND($G283&lt;=O$26,$I283&gt;=O$26),(O$26-$G283+1)/(O$26-O$25+1),0)))))))</f>
        <v>0</v>
      </c>
      <c r="P283" s="170" t="n">
        <f aca="false">IF(AND(P$26&lt;=$G$224,$G283=Model_Start_Date),1,IF(AND(P$25&lt;=$G$224,P$26&lt;=$I$224,$G283=Model_Start_Date),1,IF(AND(P$25&lt;=$G$224,P$26&gt;=$G$224,$G283=Model_Start_Date),($I$224-P$25+1)/(P$26-P$25+1),IF(AND($G283&gt;=P$25,$I283&lt;=P$26),($I283-$G283+1)/(P$26-P$25+1),IF(AND($G283&lt;=P$25,$I283&gt;=P$26),1,IF(AND($G283&lt;=P$25,$I283&gt;=P$25),($I283-P$25+1)/(P$26-P$25+1),IF(AND($G283&lt;=P$26,$I283&gt;=P$26),(P$26-$G283+1)/(P$26-P$25+1),0)))))))</f>
        <v>0</v>
      </c>
    </row>
    <row r="284" customFormat="false" ht="13.8" hidden="false" customHeight="false" outlineLevel="0" collapsed="false">
      <c r="B284" s="1"/>
      <c r="D284" s="1"/>
      <c r="F284" s="5" t="e">
        <f aca="false">MATCH(G284,#REF!)</f>
        <v>#VALUE!</v>
      </c>
      <c r="G284" s="169" t="n">
        <f aca="false">IF(I283=0,Model_Start_Date,I283+1)</f>
        <v>47484</v>
      </c>
      <c r="H284" s="1"/>
      <c r="I284" s="169" t="n">
        <f aca="false">EOMONTH(G284,0)</f>
        <v>47514</v>
      </c>
      <c r="K284" s="15" t="s">
        <v>687</v>
      </c>
      <c r="L284" s="12"/>
      <c r="M284" s="170" t="n">
        <f aca="false">IF(AND(M$26&lt;=$G$224,$G284=Model_Start_Date),1,IF(AND(M$25&lt;=$G$224,M$26&lt;=$I$224,$G284=Model_Start_Date),1,IF(AND(M$25&lt;=$G$224,M$26&gt;=$G$224,$G284=Model_Start_Date),($I$224-M$25+1)/(M$26-M$25+1),IF(AND($G284&gt;=M$25,$I284&lt;=M$26),($I284-$G284+1)/(M$26-M$25+1),IF(AND($G284&lt;=M$25,$I284&gt;=M$26),1,IF(AND($G284&lt;=M$25,$I284&gt;=M$25),($I284-M$25+1)/(M$26-M$25+1),IF(AND($G284&lt;=M$26,$I284&gt;=M$26),(M$26-$G284+1)/(M$26-M$25+1),0)))))))</f>
        <v>0</v>
      </c>
      <c r="N284" s="170" t="n">
        <f aca="false">IF(AND(N$26&lt;=$G$224,$G284=Model_Start_Date),1,IF(AND(N$25&lt;=$G$224,N$26&lt;=$I$224,$G284=Model_Start_Date),1,IF(AND(N$25&lt;=$G$224,N$26&gt;=$G$224,$G284=Model_Start_Date),($I$224-N$25+1)/(N$26-N$25+1),IF(AND($G284&gt;=N$25,$I284&lt;=N$26),($I284-$G284+1)/(N$26-N$25+1),IF(AND($G284&lt;=N$25,$I284&gt;=N$26),1,IF(AND($G284&lt;=N$25,$I284&gt;=N$25),($I284-N$25+1)/(N$26-N$25+1),IF(AND($G284&lt;=N$26,$I284&gt;=N$26),(N$26-$G284+1)/(N$26-N$25+1),0)))))))</f>
        <v>0</v>
      </c>
      <c r="O284" s="170" t="n">
        <f aca="false">IF(AND(O$26&lt;=$G$224,$G284=Model_Start_Date),1,IF(AND(O$25&lt;=$G$224,O$26&lt;=$I$224,$G284=Model_Start_Date),1,IF(AND(O$25&lt;=$G$224,O$26&gt;=$G$224,$G284=Model_Start_Date),($I$224-O$25+1)/(O$26-O$25+1),IF(AND($G284&gt;=O$25,$I284&lt;=O$26),($I284-$G284+1)/(O$26-O$25+1),IF(AND($G284&lt;=O$25,$I284&gt;=O$26),1,IF(AND($G284&lt;=O$25,$I284&gt;=O$25),($I284-O$25+1)/(O$26-O$25+1),IF(AND($G284&lt;=O$26,$I284&gt;=O$26),(O$26-$G284+1)/(O$26-O$25+1),0)))))))</f>
        <v>0</v>
      </c>
      <c r="P284" s="170" t="n">
        <f aca="false">IF(AND(P$26&lt;=$G$224,$G284=Model_Start_Date),1,IF(AND(P$25&lt;=$G$224,P$26&lt;=$I$224,$G284=Model_Start_Date),1,IF(AND(P$25&lt;=$G$224,P$26&gt;=$G$224,$G284=Model_Start_Date),($I$224-P$25+1)/(P$26-P$25+1),IF(AND($G284&gt;=P$25,$I284&lt;=P$26),($I284-$G284+1)/(P$26-P$25+1),IF(AND($G284&lt;=P$25,$I284&gt;=P$26),1,IF(AND($G284&lt;=P$25,$I284&gt;=P$25),($I284-P$25+1)/(P$26-P$25+1),IF(AND($G284&lt;=P$26,$I284&gt;=P$26),(P$26-$G284+1)/(P$26-P$25+1),0)))))))</f>
        <v>0</v>
      </c>
    </row>
    <row r="285" customFormat="false" ht="13.8" hidden="false" customHeight="false" outlineLevel="0" collapsed="false">
      <c r="B285" s="1"/>
      <c r="D285" s="1"/>
      <c r="F285" s="5" t="e">
        <f aca="false">MATCH(G285,#REF!)</f>
        <v>#VALUE!</v>
      </c>
      <c r="G285" s="169" t="n">
        <f aca="false">IF(I284=0,Model_Start_Date,I284+1)</f>
        <v>47515</v>
      </c>
      <c r="H285" s="1"/>
      <c r="I285" s="169" t="n">
        <f aca="false">EOMONTH(G285,0)</f>
        <v>47542</v>
      </c>
      <c r="K285" s="15" t="s">
        <v>687</v>
      </c>
      <c r="L285" s="12"/>
      <c r="M285" s="170" t="n">
        <f aca="false">IF(AND(M$26&lt;=$G$224,$G285=Model_Start_Date),1,IF(AND(M$25&lt;=$G$224,M$26&lt;=$I$224,$G285=Model_Start_Date),1,IF(AND(M$25&lt;=$G$224,M$26&gt;=$G$224,$G285=Model_Start_Date),($I$224-M$25+1)/(M$26-M$25+1),IF(AND($G285&gt;=M$25,$I285&lt;=M$26),($I285-$G285+1)/(M$26-M$25+1),IF(AND($G285&lt;=M$25,$I285&gt;=M$26),1,IF(AND($G285&lt;=M$25,$I285&gt;=M$25),($I285-M$25+1)/(M$26-M$25+1),IF(AND($G285&lt;=M$26,$I285&gt;=M$26),(M$26-$G285+1)/(M$26-M$25+1),0)))))))</f>
        <v>0</v>
      </c>
      <c r="N285" s="170" t="n">
        <f aca="false">IF(AND(N$26&lt;=$G$224,$G285=Model_Start_Date),1,IF(AND(N$25&lt;=$G$224,N$26&lt;=$I$224,$G285=Model_Start_Date),1,IF(AND(N$25&lt;=$G$224,N$26&gt;=$G$224,$G285=Model_Start_Date),($I$224-N$25+1)/(N$26-N$25+1),IF(AND($G285&gt;=N$25,$I285&lt;=N$26),($I285-$G285+1)/(N$26-N$25+1),IF(AND($G285&lt;=N$25,$I285&gt;=N$26),1,IF(AND($G285&lt;=N$25,$I285&gt;=N$25),($I285-N$25+1)/(N$26-N$25+1),IF(AND($G285&lt;=N$26,$I285&gt;=N$26),(N$26-$G285+1)/(N$26-N$25+1),0)))))))</f>
        <v>0</v>
      </c>
      <c r="O285" s="170" t="n">
        <f aca="false">IF(AND(O$26&lt;=$G$224,$G285=Model_Start_Date),1,IF(AND(O$25&lt;=$G$224,O$26&lt;=$I$224,$G285=Model_Start_Date),1,IF(AND(O$25&lt;=$G$224,O$26&gt;=$G$224,$G285=Model_Start_Date),($I$224-O$25+1)/(O$26-O$25+1),IF(AND($G285&gt;=O$25,$I285&lt;=O$26),($I285-$G285+1)/(O$26-O$25+1),IF(AND($G285&lt;=O$25,$I285&gt;=O$26),1,IF(AND($G285&lt;=O$25,$I285&gt;=O$25),($I285-O$25+1)/(O$26-O$25+1),IF(AND($G285&lt;=O$26,$I285&gt;=O$26),(O$26-$G285+1)/(O$26-O$25+1),0)))))))</f>
        <v>0</v>
      </c>
      <c r="P285" s="170" t="n">
        <f aca="false">IF(AND(P$26&lt;=$G$224,$G285=Model_Start_Date),1,IF(AND(P$25&lt;=$G$224,P$26&lt;=$I$224,$G285=Model_Start_Date),1,IF(AND(P$25&lt;=$G$224,P$26&gt;=$G$224,$G285=Model_Start_Date),($I$224-P$25+1)/(P$26-P$25+1),IF(AND($G285&gt;=P$25,$I285&lt;=P$26),($I285-$G285+1)/(P$26-P$25+1),IF(AND($G285&lt;=P$25,$I285&gt;=P$26),1,IF(AND($G285&lt;=P$25,$I285&gt;=P$25),($I285-P$25+1)/(P$26-P$25+1),IF(AND($G285&lt;=P$26,$I285&gt;=P$26),(P$26-$G285+1)/(P$26-P$25+1),0)))))))</f>
        <v>0</v>
      </c>
    </row>
    <row r="286" customFormat="false" ht="13.8" hidden="false" customHeight="false" outlineLevel="0" collapsed="false">
      <c r="B286" s="1"/>
      <c r="D286" s="1"/>
      <c r="F286" s="5" t="e">
        <f aca="false">MATCH(G286,#REF!)</f>
        <v>#VALUE!</v>
      </c>
      <c r="G286" s="169" t="n">
        <f aca="false">IF(I285=0,Model_Start_Date,I285+1)</f>
        <v>47543</v>
      </c>
      <c r="H286" s="1"/>
      <c r="I286" s="169" t="n">
        <f aca="false">EOMONTH(G286,0)</f>
        <v>47573</v>
      </c>
      <c r="K286" s="15" t="s">
        <v>687</v>
      </c>
      <c r="L286" s="12"/>
      <c r="M286" s="170" t="n">
        <f aca="false">IF(AND(M$26&lt;=$G$224,$G286=Model_Start_Date),1,IF(AND(M$25&lt;=$G$224,M$26&lt;=$I$224,$G286=Model_Start_Date),1,IF(AND(M$25&lt;=$G$224,M$26&gt;=$G$224,$G286=Model_Start_Date),($I$224-M$25+1)/(M$26-M$25+1),IF(AND($G286&gt;=M$25,$I286&lt;=M$26),($I286-$G286+1)/(M$26-M$25+1),IF(AND($G286&lt;=M$25,$I286&gt;=M$26),1,IF(AND($G286&lt;=M$25,$I286&gt;=M$25),($I286-M$25+1)/(M$26-M$25+1),IF(AND($G286&lt;=M$26,$I286&gt;=M$26),(M$26-$G286+1)/(M$26-M$25+1),0)))))))</f>
        <v>0</v>
      </c>
      <c r="N286" s="170" t="n">
        <f aca="false">IF(AND(N$26&lt;=$G$224,$G286=Model_Start_Date),1,IF(AND(N$25&lt;=$G$224,N$26&lt;=$I$224,$G286=Model_Start_Date),1,IF(AND(N$25&lt;=$G$224,N$26&gt;=$G$224,$G286=Model_Start_Date),($I$224-N$25+1)/(N$26-N$25+1),IF(AND($G286&gt;=N$25,$I286&lt;=N$26),($I286-$G286+1)/(N$26-N$25+1),IF(AND($G286&lt;=N$25,$I286&gt;=N$26),1,IF(AND($G286&lt;=N$25,$I286&gt;=N$25),($I286-N$25+1)/(N$26-N$25+1),IF(AND($G286&lt;=N$26,$I286&gt;=N$26),(N$26-$G286+1)/(N$26-N$25+1),0)))))))</f>
        <v>0</v>
      </c>
      <c r="O286" s="170" t="n">
        <f aca="false">IF(AND(O$26&lt;=$G$224,$G286=Model_Start_Date),1,IF(AND(O$25&lt;=$G$224,O$26&lt;=$I$224,$G286=Model_Start_Date),1,IF(AND(O$25&lt;=$G$224,O$26&gt;=$G$224,$G286=Model_Start_Date),($I$224-O$25+1)/(O$26-O$25+1),IF(AND($G286&gt;=O$25,$I286&lt;=O$26),($I286-$G286+1)/(O$26-O$25+1),IF(AND($G286&lt;=O$25,$I286&gt;=O$26),1,IF(AND($G286&lt;=O$25,$I286&gt;=O$25),($I286-O$25+1)/(O$26-O$25+1),IF(AND($G286&lt;=O$26,$I286&gt;=O$26),(O$26-$G286+1)/(O$26-O$25+1),0)))))))</f>
        <v>0</v>
      </c>
      <c r="P286" s="170" t="n">
        <f aca="false">IF(AND(P$26&lt;=$G$224,$G286=Model_Start_Date),1,IF(AND(P$25&lt;=$G$224,P$26&lt;=$I$224,$G286=Model_Start_Date),1,IF(AND(P$25&lt;=$G$224,P$26&gt;=$G$224,$G286=Model_Start_Date),($I$224-P$25+1)/(P$26-P$25+1),IF(AND($G286&gt;=P$25,$I286&lt;=P$26),($I286-$G286+1)/(P$26-P$25+1),IF(AND($G286&lt;=P$25,$I286&gt;=P$26),1,IF(AND($G286&lt;=P$25,$I286&gt;=P$25),($I286-P$25+1)/(P$26-P$25+1),IF(AND($G286&lt;=P$26,$I286&gt;=P$26),(P$26-$G286+1)/(P$26-P$25+1),0)))))))</f>
        <v>0</v>
      </c>
    </row>
    <row r="287" customFormat="false" ht="13.8" hidden="false" customHeight="false" outlineLevel="0" collapsed="false">
      <c r="B287" s="1"/>
      <c r="D287" s="1"/>
      <c r="F287" s="5" t="e">
        <f aca="false">MATCH(G287,#REF!)</f>
        <v>#VALUE!</v>
      </c>
      <c r="G287" s="169" t="n">
        <f aca="false">IF(I286=0,Model_Start_Date,I286+1)</f>
        <v>47574</v>
      </c>
      <c r="H287" s="1"/>
      <c r="I287" s="169" t="n">
        <f aca="false">EOMONTH(G287,0)</f>
        <v>47603</v>
      </c>
      <c r="K287" s="15" t="s">
        <v>687</v>
      </c>
      <c r="L287" s="12"/>
      <c r="M287" s="170" t="n">
        <f aca="false">IF(AND(M$26&lt;=$G$224,$G287=Model_Start_Date),1,IF(AND(M$25&lt;=$G$224,M$26&lt;=$I$224,$G287=Model_Start_Date),1,IF(AND(M$25&lt;=$G$224,M$26&gt;=$G$224,$G287=Model_Start_Date),($I$224-M$25+1)/(M$26-M$25+1),IF(AND($G287&gt;=M$25,$I287&lt;=M$26),($I287-$G287+1)/(M$26-M$25+1),IF(AND($G287&lt;=M$25,$I287&gt;=M$26),1,IF(AND($G287&lt;=M$25,$I287&gt;=M$25),($I287-M$25+1)/(M$26-M$25+1),IF(AND($G287&lt;=M$26,$I287&gt;=M$26),(M$26-$G287+1)/(M$26-M$25+1),0)))))))</f>
        <v>0</v>
      </c>
      <c r="N287" s="170" t="n">
        <f aca="false">IF(AND(N$26&lt;=$G$224,$G287=Model_Start_Date),1,IF(AND(N$25&lt;=$G$224,N$26&lt;=$I$224,$G287=Model_Start_Date),1,IF(AND(N$25&lt;=$G$224,N$26&gt;=$G$224,$G287=Model_Start_Date),($I$224-N$25+1)/(N$26-N$25+1),IF(AND($G287&gt;=N$25,$I287&lt;=N$26),($I287-$G287+1)/(N$26-N$25+1),IF(AND($G287&lt;=N$25,$I287&gt;=N$26),1,IF(AND($G287&lt;=N$25,$I287&gt;=N$25),($I287-N$25+1)/(N$26-N$25+1),IF(AND($G287&lt;=N$26,$I287&gt;=N$26),(N$26-$G287+1)/(N$26-N$25+1),0)))))))</f>
        <v>0</v>
      </c>
      <c r="O287" s="170" t="n">
        <f aca="false">IF(AND(O$26&lt;=$G$224,$G287=Model_Start_Date),1,IF(AND(O$25&lt;=$G$224,O$26&lt;=$I$224,$G287=Model_Start_Date),1,IF(AND(O$25&lt;=$G$224,O$26&gt;=$G$224,$G287=Model_Start_Date),($I$224-O$25+1)/(O$26-O$25+1),IF(AND($G287&gt;=O$25,$I287&lt;=O$26),($I287-$G287+1)/(O$26-O$25+1),IF(AND($G287&lt;=O$25,$I287&gt;=O$26),1,IF(AND($G287&lt;=O$25,$I287&gt;=O$25),($I287-O$25+1)/(O$26-O$25+1),IF(AND($G287&lt;=O$26,$I287&gt;=O$26),(O$26-$G287+1)/(O$26-O$25+1),0)))))))</f>
        <v>0</v>
      </c>
      <c r="P287" s="170" t="n">
        <f aca="false">IF(AND(P$26&lt;=$G$224,$G287=Model_Start_Date),1,IF(AND(P$25&lt;=$G$224,P$26&lt;=$I$224,$G287=Model_Start_Date),1,IF(AND(P$25&lt;=$G$224,P$26&gt;=$G$224,$G287=Model_Start_Date),($I$224-P$25+1)/(P$26-P$25+1),IF(AND($G287&gt;=P$25,$I287&lt;=P$26),($I287-$G287+1)/(P$26-P$25+1),IF(AND($G287&lt;=P$25,$I287&gt;=P$26),1,IF(AND($G287&lt;=P$25,$I287&gt;=P$25),($I287-P$25+1)/(P$26-P$25+1),IF(AND($G287&lt;=P$26,$I287&gt;=P$26),(P$26-$G287+1)/(P$26-P$25+1),0)))))))</f>
        <v>0</v>
      </c>
    </row>
    <row r="288" customFormat="false" ht="13.8" hidden="false" customHeight="false" outlineLevel="0" collapsed="false">
      <c r="B288" s="1"/>
      <c r="D288" s="1"/>
      <c r="F288" s="5" t="e">
        <f aca="false">MATCH(G288,#REF!)</f>
        <v>#VALUE!</v>
      </c>
      <c r="G288" s="169" t="n">
        <f aca="false">IF(I287=0,Model_Start_Date,I287+1)</f>
        <v>47604</v>
      </c>
      <c r="H288" s="1"/>
      <c r="I288" s="169" t="n">
        <f aca="false">EOMONTH(G288,0)</f>
        <v>47634</v>
      </c>
      <c r="K288" s="15" t="s">
        <v>687</v>
      </c>
      <c r="L288" s="12"/>
      <c r="M288" s="170" t="n">
        <f aca="false">IF(AND(M$26&lt;=$G$224,$G288=Model_Start_Date),1,IF(AND(M$25&lt;=$G$224,M$26&lt;=$I$224,$G288=Model_Start_Date),1,IF(AND(M$25&lt;=$G$224,M$26&gt;=$G$224,$G288=Model_Start_Date),($I$224-M$25+1)/(M$26-M$25+1),IF(AND($G288&gt;=M$25,$I288&lt;=M$26),($I288-$G288+1)/(M$26-M$25+1),IF(AND($G288&lt;=M$25,$I288&gt;=M$26),1,IF(AND($G288&lt;=M$25,$I288&gt;=M$25),($I288-M$25+1)/(M$26-M$25+1),IF(AND($G288&lt;=M$26,$I288&gt;=M$26),(M$26-$G288+1)/(M$26-M$25+1),0)))))))</f>
        <v>0</v>
      </c>
      <c r="N288" s="170" t="n">
        <f aca="false">IF(AND(N$26&lt;=$G$224,$G288=Model_Start_Date),1,IF(AND(N$25&lt;=$G$224,N$26&lt;=$I$224,$G288=Model_Start_Date),1,IF(AND(N$25&lt;=$G$224,N$26&gt;=$G$224,$G288=Model_Start_Date),($I$224-N$25+1)/(N$26-N$25+1),IF(AND($G288&gt;=N$25,$I288&lt;=N$26),($I288-$G288+1)/(N$26-N$25+1),IF(AND($G288&lt;=N$25,$I288&gt;=N$26),1,IF(AND($G288&lt;=N$25,$I288&gt;=N$25),($I288-N$25+1)/(N$26-N$25+1),IF(AND($G288&lt;=N$26,$I288&gt;=N$26),(N$26-$G288+1)/(N$26-N$25+1),0)))))))</f>
        <v>0</v>
      </c>
      <c r="O288" s="170" t="n">
        <f aca="false">IF(AND(O$26&lt;=$G$224,$G288=Model_Start_Date),1,IF(AND(O$25&lt;=$G$224,O$26&lt;=$I$224,$G288=Model_Start_Date),1,IF(AND(O$25&lt;=$G$224,O$26&gt;=$G$224,$G288=Model_Start_Date),($I$224-O$25+1)/(O$26-O$25+1),IF(AND($G288&gt;=O$25,$I288&lt;=O$26),($I288-$G288+1)/(O$26-O$25+1),IF(AND($G288&lt;=O$25,$I288&gt;=O$26),1,IF(AND($G288&lt;=O$25,$I288&gt;=O$25),($I288-O$25+1)/(O$26-O$25+1),IF(AND($G288&lt;=O$26,$I288&gt;=O$26),(O$26-$G288+1)/(O$26-O$25+1),0)))))))</f>
        <v>0</v>
      </c>
      <c r="P288" s="170" t="n">
        <f aca="false">IF(AND(P$26&lt;=$G$224,$G288=Model_Start_Date),1,IF(AND(P$25&lt;=$G$224,P$26&lt;=$I$224,$G288=Model_Start_Date),1,IF(AND(P$25&lt;=$G$224,P$26&gt;=$G$224,$G288=Model_Start_Date),($I$224-P$25+1)/(P$26-P$25+1),IF(AND($G288&gt;=P$25,$I288&lt;=P$26),($I288-$G288+1)/(P$26-P$25+1),IF(AND($G288&lt;=P$25,$I288&gt;=P$26),1,IF(AND($G288&lt;=P$25,$I288&gt;=P$25),($I288-P$25+1)/(P$26-P$25+1),IF(AND($G288&lt;=P$26,$I288&gt;=P$26),(P$26-$G288+1)/(P$26-P$25+1),0)))))))</f>
        <v>0</v>
      </c>
    </row>
    <row r="289" customFormat="false" ht="13.8" hidden="false" customHeight="false" outlineLevel="0" collapsed="false">
      <c r="B289" s="1"/>
      <c r="D289" s="1"/>
      <c r="F289" s="5" t="e">
        <f aca="false">MATCH(G289,#REF!)</f>
        <v>#VALUE!</v>
      </c>
      <c r="G289" s="169" t="n">
        <f aca="false">IF(I288=0,Model_Start_Date,I288+1)</f>
        <v>47635</v>
      </c>
      <c r="H289" s="1"/>
      <c r="I289" s="169" t="n">
        <f aca="false">EOMONTH(G289,0)</f>
        <v>47664</v>
      </c>
      <c r="K289" s="15" t="s">
        <v>687</v>
      </c>
      <c r="L289" s="12"/>
      <c r="M289" s="170" t="n">
        <f aca="false">IF(AND(M$26&lt;=$G$224,$G289=Model_Start_Date),1,IF(AND(M$25&lt;=$G$224,M$26&lt;=$I$224,$G289=Model_Start_Date),1,IF(AND(M$25&lt;=$G$224,M$26&gt;=$G$224,$G289=Model_Start_Date),($I$224-M$25+1)/(M$26-M$25+1),IF(AND($G289&gt;=M$25,$I289&lt;=M$26),($I289-$G289+1)/(M$26-M$25+1),IF(AND($G289&lt;=M$25,$I289&gt;=M$26),1,IF(AND($G289&lt;=M$25,$I289&gt;=M$25),($I289-M$25+1)/(M$26-M$25+1),IF(AND($G289&lt;=M$26,$I289&gt;=M$26),(M$26-$G289+1)/(M$26-M$25+1),0)))))))</f>
        <v>0</v>
      </c>
      <c r="N289" s="170" t="n">
        <f aca="false">IF(AND(N$26&lt;=$G$224,$G289=Model_Start_Date),1,IF(AND(N$25&lt;=$G$224,N$26&lt;=$I$224,$G289=Model_Start_Date),1,IF(AND(N$25&lt;=$G$224,N$26&gt;=$G$224,$G289=Model_Start_Date),($I$224-N$25+1)/(N$26-N$25+1),IF(AND($G289&gt;=N$25,$I289&lt;=N$26),($I289-$G289+1)/(N$26-N$25+1),IF(AND($G289&lt;=N$25,$I289&gt;=N$26),1,IF(AND($G289&lt;=N$25,$I289&gt;=N$25),($I289-N$25+1)/(N$26-N$25+1),IF(AND($G289&lt;=N$26,$I289&gt;=N$26),(N$26-$G289+1)/(N$26-N$25+1),0)))))))</f>
        <v>0</v>
      </c>
      <c r="O289" s="170" t="n">
        <f aca="false">IF(AND(O$26&lt;=$G$224,$G289=Model_Start_Date),1,IF(AND(O$25&lt;=$G$224,O$26&lt;=$I$224,$G289=Model_Start_Date),1,IF(AND(O$25&lt;=$G$224,O$26&gt;=$G$224,$G289=Model_Start_Date),($I$224-O$25+1)/(O$26-O$25+1),IF(AND($G289&gt;=O$25,$I289&lt;=O$26),($I289-$G289+1)/(O$26-O$25+1),IF(AND($G289&lt;=O$25,$I289&gt;=O$26),1,IF(AND($G289&lt;=O$25,$I289&gt;=O$25),($I289-O$25+1)/(O$26-O$25+1),IF(AND($G289&lt;=O$26,$I289&gt;=O$26),(O$26-$G289+1)/(O$26-O$25+1),0)))))))</f>
        <v>0</v>
      </c>
      <c r="P289" s="170" t="n">
        <f aca="false">IF(AND(P$26&lt;=$G$224,$G289=Model_Start_Date),1,IF(AND(P$25&lt;=$G$224,P$26&lt;=$I$224,$G289=Model_Start_Date),1,IF(AND(P$25&lt;=$G$224,P$26&gt;=$G$224,$G289=Model_Start_Date),($I$224-P$25+1)/(P$26-P$25+1),IF(AND($G289&gt;=P$25,$I289&lt;=P$26),($I289-$G289+1)/(P$26-P$25+1),IF(AND($G289&lt;=P$25,$I289&gt;=P$26),1,IF(AND($G289&lt;=P$25,$I289&gt;=P$25),($I289-P$25+1)/(P$26-P$25+1),IF(AND($G289&lt;=P$26,$I289&gt;=P$26),(P$26-$G289+1)/(P$26-P$25+1),0)))))))</f>
        <v>0</v>
      </c>
    </row>
    <row r="290" customFormat="false" ht="13.8" hidden="false" customHeight="false" outlineLevel="0" collapsed="false">
      <c r="B290" s="1"/>
      <c r="D290" s="1"/>
      <c r="F290" s="5" t="e">
        <f aca="false">MATCH(G290,#REF!)</f>
        <v>#VALUE!</v>
      </c>
      <c r="G290" s="169" t="n">
        <f aca="false">IF(I289=0,Model_Start_Date,I289+1)</f>
        <v>47665</v>
      </c>
      <c r="H290" s="1"/>
      <c r="I290" s="169" t="n">
        <f aca="false">EOMONTH(G290,0)</f>
        <v>47695</v>
      </c>
      <c r="K290" s="15" t="s">
        <v>687</v>
      </c>
      <c r="L290" s="12"/>
      <c r="M290" s="170" t="n">
        <f aca="false">IF(AND(M$26&lt;=$G$224,$G290=Model_Start_Date),1,IF(AND(M$25&lt;=$G$224,M$26&lt;=$I$224,$G290=Model_Start_Date),1,IF(AND(M$25&lt;=$G$224,M$26&gt;=$G$224,$G290=Model_Start_Date),($I$224-M$25+1)/(M$26-M$25+1),IF(AND($G290&gt;=M$25,$I290&lt;=M$26),($I290-$G290+1)/(M$26-M$25+1),IF(AND($G290&lt;=M$25,$I290&gt;=M$26),1,IF(AND($G290&lt;=M$25,$I290&gt;=M$25),($I290-M$25+1)/(M$26-M$25+1),IF(AND($G290&lt;=M$26,$I290&gt;=M$26),(M$26-$G290+1)/(M$26-M$25+1),0)))))))</f>
        <v>0</v>
      </c>
      <c r="N290" s="170" t="n">
        <f aca="false">IF(AND(N$26&lt;=$G$224,$G290=Model_Start_Date),1,IF(AND(N$25&lt;=$G$224,N$26&lt;=$I$224,$G290=Model_Start_Date),1,IF(AND(N$25&lt;=$G$224,N$26&gt;=$G$224,$G290=Model_Start_Date),($I$224-N$25+1)/(N$26-N$25+1),IF(AND($G290&gt;=N$25,$I290&lt;=N$26),($I290-$G290+1)/(N$26-N$25+1),IF(AND($G290&lt;=N$25,$I290&gt;=N$26),1,IF(AND($G290&lt;=N$25,$I290&gt;=N$25),($I290-N$25+1)/(N$26-N$25+1),IF(AND($G290&lt;=N$26,$I290&gt;=N$26),(N$26-$G290+1)/(N$26-N$25+1),0)))))))</f>
        <v>0</v>
      </c>
      <c r="O290" s="170" t="n">
        <f aca="false">IF(AND(O$26&lt;=$G$224,$G290=Model_Start_Date),1,IF(AND(O$25&lt;=$G$224,O$26&lt;=$I$224,$G290=Model_Start_Date),1,IF(AND(O$25&lt;=$G$224,O$26&gt;=$G$224,$G290=Model_Start_Date),($I$224-O$25+1)/(O$26-O$25+1),IF(AND($G290&gt;=O$25,$I290&lt;=O$26),($I290-$G290+1)/(O$26-O$25+1),IF(AND($G290&lt;=O$25,$I290&gt;=O$26),1,IF(AND($G290&lt;=O$25,$I290&gt;=O$25),($I290-O$25+1)/(O$26-O$25+1),IF(AND($G290&lt;=O$26,$I290&gt;=O$26),(O$26-$G290+1)/(O$26-O$25+1),0)))))))</f>
        <v>0</v>
      </c>
      <c r="P290" s="170" t="n">
        <f aca="false">IF(AND(P$26&lt;=$G$224,$G290=Model_Start_Date),1,IF(AND(P$25&lt;=$G$224,P$26&lt;=$I$224,$G290=Model_Start_Date),1,IF(AND(P$25&lt;=$G$224,P$26&gt;=$G$224,$G290=Model_Start_Date),($I$224-P$25+1)/(P$26-P$25+1),IF(AND($G290&gt;=P$25,$I290&lt;=P$26),($I290-$G290+1)/(P$26-P$25+1),IF(AND($G290&lt;=P$25,$I290&gt;=P$26),1,IF(AND($G290&lt;=P$25,$I290&gt;=P$25),($I290-P$25+1)/(P$26-P$25+1),IF(AND($G290&lt;=P$26,$I290&gt;=P$26),(P$26-$G290+1)/(P$26-P$25+1),0)))))))</f>
        <v>0</v>
      </c>
    </row>
    <row r="291" customFormat="false" ht="13.8" hidden="false" customHeight="false" outlineLevel="0" collapsed="false">
      <c r="B291" s="1"/>
      <c r="D291" s="1"/>
      <c r="F291" s="5" t="e">
        <f aca="false">MATCH(G291,#REF!)</f>
        <v>#VALUE!</v>
      </c>
      <c r="G291" s="169" t="n">
        <f aca="false">IF(I290=0,Model_Start_Date,I290+1)</f>
        <v>47696</v>
      </c>
      <c r="H291" s="1"/>
      <c r="I291" s="169" t="n">
        <f aca="false">EOMONTH(G291,0)</f>
        <v>47726</v>
      </c>
      <c r="K291" s="15" t="s">
        <v>687</v>
      </c>
      <c r="L291" s="12"/>
      <c r="M291" s="170" t="n">
        <f aca="false">IF(AND(M$26&lt;=$G$224,$G291=Model_Start_Date),1,IF(AND(M$25&lt;=$G$224,M$26&lt;=$I$224,$G291=Model_Start_Date),1,IF(AND(M$25&lt;=$G$224,M$26&gt;=$G$224,$G291=Model_Start_Date),($I$224-M$25+1)/(M$26-M$25+1),IF(AND($G291&gt;=M$25,$I291&lt;=M$26),($I291-$G291+1)/(M$26-M$25+1),IF(AND($G291&lt;=M$25,$I291&gt;=M$26),1,IF(AND($G291&lt;=M$25,$I291&gt;=M$25),($I291-M$25+1)/(M$26-M$25+1),IF(AND($G291&lt;=M$26,$I291&gt;=M$26),(M$26-$G291+1)/(M$26-M$25+1),0)))))))</f>
        <v>0</v>
      </c>
      <c r="N291" s="170" t="n">
        <f aca="false">IF(AND(N$26&lt;=$G$224,$G291=Model_Start_Date),1,IF(AND(N$25&lt;=$G$224,N$26&lt;=$I$224,$G291=Model_Start_Date),1,IF(AND(N$25&lt;=$G$224,N$26&gt;=$G$224,$G291=Model_Start_Date),($I$224-N$25+1)/(N$26-N$25+1),IF(AND($G291&gt;=N$25,$I291&lt;=N$26),($I291-$G291+1)/(N$26-N$25+1),IF(AND($G291&lt;=N$25,$I291&gt;=N$26),1,IF(AND($G291&lt;=N$25,$I291&gt;=N$25),($I291-N$25+1)/(N$26-N$25+1),IF(AND($G291&lt;=N$26,$I291&gt;=N$26),(N$26-$G291+1)/(N$26-N$25+1),0)))))))</f>
        <v>0</v>
      </c>
      <c r="O291" s="170" t="n">
        <f aca="false">IF(AND(O$26&lt;=$G$224,$G291=Model_Start_Date),1,IF(AND(O$25&lt;=$G$224,O$26&lt;=$I$224,$G291=Model_Start_Date),1,IF(AND(O$25&lt;=$G$224,O$26&gt;=$G$224,$G291=Model_Start_Date),($I$224-O$25+1)/(O$26-O$25+1),IF(AND($G291&gt;=O$25,$I291&lt;=O$26),($I291-$G291+1)/(O$26-O$25+1),IF(AND($G291&lt;=O$25,$I291&gt;=O$26),1,IF(AND($G291&lt;=O$25,$I291&gt;=O$25),($I291-O$25+1)/(O$26-O$25+1),IF(AND($G291&lt;=O$26,$I291&gt;=O$26),(O$26-$G291+1)/(O$26-O$25+1),0)))))))</f>
        <v>0</v>
      </c>
      <c r="P291" s="170" t="n">
        <f aca="false">IF(AND(P$26&lt;=$G$224,$G291=Model_Start_Date),1,IF(AND(P$25&lt;=$G$224,P$26&lt;=$I$224,$G291=Model_Start_Date),1,IF(AND(P$25&lt;=$G$224,P$26&gt;=$G$224,$G291=Model_Start_Date),($I$224-P$25+1)/(P$26-P$25+1),IF(AND($G291&gt;=P$25,$I291&lt;=P$26),($I291-$G291+1)/(P$26-P$25+1),IF(AND($G291&lt;=P$25,$I291&gt;=P$26),1,IF(AND($G291&lt;=P$25,$I291&gt;=P$25),($I291-P$25+1)/(P$26-P$25+1),IF(AND($G291&lt;=P$26,$I291&gt;=P$26),(P$26-$G291+1)/(P$26-P$25+1),0)))))))</f>
        <v>0</v>
      </c>
    </row>
    <row r="292" customFormat="false" ht="13.8" hidden="false" customHeight="false" outlineLevel="0" collapsed="false">
      <c r="B292" s="1"/>
      <c r="D292" s="1"/>
      <c r="F292" s="5" t="e">
        <f aca="false">MATCH(G292,#REF!)</f>
        <v>#VALUE!</v>
      </c>
      <c r="G292" s="169" t="n">
        <f aca="false">IF(I291=0,Model_Start_Date,I291+1)</f>
        <v>47727</v>
      </c>
      <c r="H292" s="1"/>
      <c r="I292" s="169" t="n">
        <f aca="false">EOMONTH(G292,0)</f>
        <v>47756</v>
      </c>
      <c r="K292" s="15" t="s">
        <v>687</v>
      </c>
      <c r="L292" s="12"/>
      <c r="M292" s="170" t="n">
        <f aca="false">IF(AND(M$26&lt;=$G$224,$G292=Model_Start_Date),1,IF(AND(M$25&lt;=$G$224,M$26&lt;=$I$224,$G292=Model_Start_Date),1,IF(AND(M$25&lt;=$G$224,M$26&gt;=$G$224,$G292=Model_Start_Date),($I$224-M$25+1)/(M$26-M$25+1),IF(AND($G292&gt;=M$25,$I292&lt;=M$26),($I292-$G292+1)/(M$26-M$25+1),IF(AND($G292&lt;=M$25,$I292&gt;=M$26),1,IF(AND($G292&lt;=M$25,$I292&gt;=M$25),($I292-M$25+1)/(M$26-M$25+1),IF(AND($G292&lt;=M$26,$I292&gt;=M$26),(M$26-$G292+1)/(M$26-M$25+1),0)))))))</f>
        <v>0</v>
      </c>
      <c r="N292" s="170" t="n">
        <f aca="false">IF(AND(N$26&lt;=$G$224,$G292=Model_Start_Date),1,IF(AND(N$25&lt;=$G$224,N$26&lt;=$I$224,$G292=Model_Start_Date),1,IF(AND(N$25&lt;=$G$224,N$26&gt;=$G$224,$G292=Model_Start_Date),($I$224-N$25+1)/(N$26-N$25+1),IF(AND($G292&gt;=N$25,$I292&lt;=N$26),($I292-$G292+1)/(N$26-N$25+1),IF(AND($G292&lt;=N$25,$I292&gt;=N$26),1,IF(AND($G292&lt;=N$25,$I292&gt;=N$25),($I292-N$25+1)/(N$26-N$25+1),IF(AND($G292&lt;=N$26,$I292&gt;=N$26),(N$26-$G292+1)/(N$26-N$25+1),0)))))))</f>
        <v>0</v>
      </c>
      <c r="O292" s="170" t="n">
        <f aca="false">IF(AND(O$26&lt;=$G$224,$G292=Model_Start_Date),1,IF(AND(O$25&lt;=$G$224,O$26&lt;=$I$224,$G292=Model_Start_Date),1,IF(AND(O$25&lt;=$G$224,O$26&gt;=$G$224,$G292=Model_Start_Date),($I$224-O$25+1)/(O$26-O$25+1),IF(AND($G292&gt;=O$25,$I292&lt;=O$26),($I292-$G292+1)/(O$26-O$25+1),IF(AND($G292&lt;=O$25,$I292&gt;=O$26),1,IF(AND($G292&lt;=O$25,$I292&gt;=O$25),($I292-O$25+1)/(O$26-O$25+1),IF(AND($G292&lt;=O$26,$I292&gt;=O$26),(O$26-$G292+1)/(O$26-O$25+1),0)))))))</f>
        <v>0</v>
      </c>
      <c r="P292" s="170" t="n">
        <f aca="false">IF(AND(P$26&lt;=$G$224,$G292=Model_Start_Date),1,IF(AND(P$25&lt;=$G$224,P$26&lt;=$I$224,$G292=Model_Start_Date),1,IF(AND(P$25&lt;=$G$224,P$26&gt;=$G$224,$G292=Model_Start_Date),($I$224-P$25+1)/(P$26-P$25+1),IF(AND($G292&gt;=P$25,$I292&lt;=P$26),($I292-$G292+1)/(P$26-P$25+1),IF(AND($G292&lt;=P$25,$I292&gt;=P$26),1,IF(AND($G292&lt;=P$25,$I292&gt;=P$25),($I292-P$25+1)/(P$26-P$25+1),IF(AND($G292&lt;=P$26,$I292&gt;=P$26),(P$26-$G292+1)/(P$26-P$25+1),0)))))))</f>
        <v>0</v>
      </c>
    </row>
    <row r="293" customFormat="false" ht="13.8" hidden="false" customHeight="false" outlineLevel="0" collapsed="false">
      <c r="B293" s="1"/>
      <c r="D293" s="1"/>
      <c r="F293" s="5" t="e">
        <f aca="false">MATCH(G293,#REF!)</f>
        <v>#VALUE!</v>
      </c>
      <c r="G293" s="169" t="n">
        <f aca="false">IF(I292=0,Model_Start_Date,I292+1)</f>
        <v>47757</v>
      </c>
      <c r="H293" s="1"/>
      <c r="I293" s="169" t="n">
        <f aca="false">EOMONTH(G293,0)</f>
        <v>47787</v>
      </c>
      <c r="K293" s="15" t="s">
        <v>687</v>
      </c>
      <c r="L293" s="12"/>
      <c r="M293" s="170" t="n">
        <f aca="false">IF(AND(M$26&lt;=$G$224,$G293=Model_Start_Date),1,IF(AND(M$25&lt;=$G$224,M$26&lt;=$I$224,$G293=Model_Start_Date),1,IF(AND(M$25&lt;=$G$224,M$26&gt;=$G$224,$G293=Model_Start_Date),($I$224-M$25+1)/(M$26-M$25+1),IF(AND($G293&gt;=M$25,$I293&lt;=M$26),($I293-$G293+1)/(M$26-M$25+1),IF(AND($G293&lt;=M$25,$I293&gt;=M$26),1,IF(AND($G293&lt;=M$25,$I293&gt;=M$25),($I293-M$25+1)/(M$26-M$25+1),IF(AND($G293&lt;=M$26,$I293&gt;=M$26),(M$26-$G293+1)/(M$26-M$25+1),0)))))))</f>
        <v>0</v>
      </c>
      <c r="N293" s="170" t="n">
        <f aca="false">IF(AND(N$26&lt;=$G$224,$G293=Model_Start_Date),1,IF(AND(N$25&lt;=$G$224,N$26&lt;=$I$224,$G293=Model_Start_Date),1,IF(AND(N$25&lt;=$G$224,N$26&gt;=$G$224,$G293=Model_Start_Date),($I$224-N$25+1)/(N$26-N$25+1),IF(AND($G293&gt;=N$25,$I293&lt;=N$26),($I293-$G293+1)/(N$26-N$25+1),IF(AND($G293&lt;=N$25,$I293&gt;=N$26),1,IF(AND($G293&lt;=N$25,$I293&gt;=N$25),($I293-N$25+1)/(N$26-N$25+1),IF(AND($G293&lt;=N$26,$I293&gt;=N$26),(N$26-$G293+1)/(N$26-N$25+1),0)))))))</f>
        <v>0</v>
      </c>
      <c r="O293" s="170" t="n">
        <f aca="false">IF(AND(O$26&lt;=$G$224,$G293=Model_Start_Date),1,IF(AND(O$25&lt;=$G$224,O$26&lt;=$I$224,$G293=Model_Start_Date),1,IF(AND(O$25&lt;=$G$224,O$26&gt;=$G$224,$G293=Model_Start_Date),($I$224-O$25+1)/(O$26-O$25+1),IF(AND($G293&gt;=O$25,$I293&lt;=O$26),($I293-$G293+1)/(O$26-O$25+1),IF(AND($G293&lt;=O$25,$I293&gt;=O$26),1,IF(AND($G293&lt;=O$25,$I293&gt;=O$25),($I293-O$25+1)/(O$26-O$25+1),IF(AND($G293&lt;=O$26,$I293&gt;=O$26),(O$26-$G293+1)/(O$26-O$25+1),0)))))))</f>
        <v>0</v>
      </c>
      <c r="P293" s="170" t="n">
        <f aca="false">IF(AND(P$26&lt;=$G$224,$G293=Model_Start_Date),1,IF(AND(P$25&lt;=$G$224,P$26&lt;=$I$224,$G293=Model_Start_Date),1,IF(AND(P$25&lt;=$G$224,P$26&gt;=$G$224,$G293=Model_Start_Date),($I$224-P$25+1)/(P$26-P$25+1),IF(AND($G293&gt;=P$25,$I293&lt;=P$26),($I293-$G293+1)/(P$26-P$25+1),IF(AND($G293&lt;=P$25,$I293&gt;=P$26),1,IF(AND($G293&lt;=P$25,$I293&gt;=P$25),($I293-P$25+1)/(P$26-P$25+1),IF(AND($G293&lt;=P$26,$I293&gt;=P$26),(P$26-$G293+1)/(P$26-P$25+1),0)))))))</f>
        <v>0</v>
      </c>
    </row>
    <row r="294" customFormat="false" ht="13.8" hidden="false" customHeight="false" outlineLevel="0" collapsed="false">
      <c r="B294" s="1"/>
      <c r="D294" s="1"/>
      <c r="F294" s="5" t="e">
        <f aca="false">MATCH(G294,#REF!)</f>
        <v>#VALUE!</v>
      </c>
      <c r="G294" s="169" t="n">
        <f aca="false">IF(I293=0,Model_Start_Date,I293+1)</f>
        <v>47788</v>
      </c>
      <c r="H294" s="1"/>
      <c r="I294" s="169" t="n">
        <f aca="false">EOMONTH(G294,0)</f>
        <v>47817</v>
      </c>
      <c r="K294" s="15" t="s">
        <v>687</v>
      </c>
      <c r="L294" s="12"/>
      <c r="M294" s="170" t="n">
        <f aca="false">IF(AND(M$26&lt;=$G$224,$G294=Model_Start_Date),1,IF(AND(M$25&lt;=$G$224,M$26&lt;=$I$224,$G294=Model_Start_Date),1,IF(AND(M$25&lt;=$G$224,M$26&gt;=$G$224,$G294=Model_Start_Date),($I$224-M$25+1)/(M$26-M$25+1),IF(AND($G294&gt;=M$25,$I294&lt;=M$26),($I294-$G294+1)/(M$26-M$25+1),IF(AND($G294&lt;=M$25,$I294&gt;=M$26),1,IF(AND($G294&lt;=M$25,$I294&gt;=M$25),($I294-M$25+1)/(M$26-M$25+1),IF(AND($G294&lt;=M$26,$I294&gt;=M$26),(M$26-$G294+1)/(M$26-M$25+1),0)))))))</f>
        <v>0</v>
      </c>
      <c r="N294" s="170" t="n">
        <f aca="false">IF(AND(N$26&lt;=$G$224,$G294=Model_Start_Date),1,IF(AND(N$25&lt;=$G$224,N$26&lt;=$I$224,$G294=Model_Start_Date),1,IF(AND(N$25&lt;=$G$224,N$26&gt;=$G$224,$G294=Model_Start_Date),($I$224-N$25+1)/(N$26-N$25+1),IF(AND($G294&gt;=N$25,$I294&lt;=N$26),($I294-$G294+1)/(N$26-N$25+1),IF(AND($G294&lt;=N$25,$I294&gt;=N$26),1,IF(AND($G294&lt;=N$25,$I294&gt;=N$25),($I294-N$25+1)/(N$26-N$25+1),IF(AND($G294&lt;=N$26,$I294&gt;=N$26),(N$26-$G294+1)/(N$26-N$25+1),0)))))))</f>
        <v>0</v>
      </c>
      <c r="O294" s="170" t="n">
        <f aca="false">IF(AND(O$26&lt;=$G$224,$G294=Model_Start_Date),1,IF(AND(O$25&lt;=$G$224,O$26&lt;=$I$224,$G294=Model_Start_Date),1,IF(AND(O$25&lt;=$G$224,O$26&gt;=$G$224,$G294=Model_Start_Date),($I$224-O$25+1)/(O$26-O$25+1),IF(AND($G294&gt;=O$25,$I294&lt;=O$26),($I294-$G294+1)/(O$26-O$25+1),IF(AND($G294&lt;=O$25,$I294&gt;=O$26),1,IF(AND($G294&lt;=O$25,$I294&gt;=O$25),($I294-O$25+1)/(O$26-O$25+1),IF(AND($G294&lt;=O$26,$I294&gt;=O$26),(O$26-$G294+1)/(O$26-O$25+1),0)))))))</f>
        <v>0</v>
      </c>
      <c r="P294" s="170" t="n">
        <f aca="false">IF(AND(P$26&lt;=$G$224,$G294=Model_Start_Date),1,IF(AND(P$25&lt;=$G$224,P$26&lt;=$I$224,$G294=Model_Start_Date),1,IF(AND(P$25&lt;=$G$224,P$26&gt;=$G$224,$G294=Model_Start_Date),($I$224-P$25+1)/(P$26-P$25+1),IF(AND($G294&gt;=P$25,$I294&lt;=P$26),($I294-$G294+1)/(P$26-P$25+1),IF(AND($G294&lt;=P$25,$I294&gt;=P$26),1,IF(AND($G294&lt;=P$25,$I294&gt;=P$25),($I294-P$25+1)/(P$26-P$25+1),IF(AND($G294&lt;=P$26,$I294&gt;=P$26),(P$26-$G294+1)/(P$26-P$25+1),0)))))))</f>
        <v>0</v>
      </c>
    </row>
    <row r="295" customFormat="false" ht="13.8" hidden="false" customHeight="false" outlineLevel="0" collapsed="false">
      <c r="B295" s="1"/>
      <c r="D295" s="1"/>
      <c r="F295" s="5" t="e">
        <f aca="false">MATCH(G295,#REF!)</f>
        <v>#VALUE!</v>
      </c>
      <c r="G295" s="169" t="n">
        <f aca="false">IF(I294=0,Model_Start_Date,I294+1)</f>
        <v>47818</v>
      </c>
      <c r="H295" s="1"/>
      <c r="I295" s="169" t="n">
        <f aca="false">EOMONTH(G295,0)</f>
        <v>47848</v>
      </c>
      <c r="K295" s="15" t="s">
        <v>687</v>
      </c>
      <c r="L295" s="12"/>
      <c r="M295" s="170" t="n">
        <f aca="false">IF(AND(M$26&lt;=$G$224,$G295=Model_Start_Date),1,IF(AND(M$25&lt;=$G$224,M$26&lt;=$I$224,$G295=Model_Start_Date),1,IF(AND(M$25&lt;=$G$224,M$26&gt;=$G$224,$G295=Model_Start_Date),($I$224-M$25+1)/(M$26-M$25+1),IF(AND($G295&gt;=M$25,$I295&lt;=M$26),($I295-$G295+1)/(M$26-M$25+1),IF(AND($G295&lt;=M$25,$I295&gt;=M$26),1,IF(AND($G295&lt;=M$25,$I295&gt;=M$25),($I295-M$25+1)/(M$26-M$25+1),IF(AND($G295&lt;=M$26,$I295&gt;=M$26),(M$26-$G295+1)/(M$26-M$25+1),0)))))))</f>
        <v>0</v>
      </c>
      <c r="N295" s="170" t="n">
        <f aca="false">IF(AND(N$26&lt;=$G$224,$G295=Model_Start_Date),1,IF(AND(N$25&lt;=$G$224,N$26&lt;=$I$224,$G295=Model_Start_Date),1,IF(AND(N$25&lt;=$G$224,N$26&gt;=$G$224,$G295=Model_Start_Date),($I$224-N$25+1)/(N$26-N$25+1),IF(AND($G295&gt;=N$25,$I295&lt;=N$26),($I295-$G295+1)/(N$26-N$25+1),IF(AND($G295&lt;=N$25,$I295&gt;=N$26),1,IF(AND($G295&lt;=N$25,$I295&gt;=N$25),($I295-N$25+1)/(N$26-N$25+1),IF(AND($G295&lt;=N$26,$I295&gt;=N$26),(N$26-$G295+1)/(N$26-N$25+1),0)))))))</f>
        <v>0</v>
      </c>
      <c r="O295" s="170" t="n">
        <f aca="false">IF(AND(O$26&lt;=$G$224,$G295=Model_Start_Date),1,IF(AND(O$25&lt;=$G$224,O$26&lt;=$I$224,$G295=Model_Start_Date),1,IF(AND(O$25&lt;=$G$224,O$26&gt;=$G$224,$G295=Model_Start_Date),($I$224-O$25+1)/(O$26-O$25+1),IF(AND($G295&gt;=O$25,$I295&lt;=O$26),($I295-$G295+1)/(O$26-O$25+1),IF(AND($G295&lt;=O$25,$I295&gt;=O$26),1,IF(AND($G295&lt;=O$25,$I295&gt;=O$25),($I295-O$25+1)/(O$26-O$25+1),IF(AND($G295&lt;=O$26,$I295&gt;=O$26),(O$26-$G295+1)/(O$26-O$25+1),0)))))))</f>
        <v>0</v>
      </c>
      <c r="P295" s="170" t="n">
        <f aca="false">IF(AND(P$26&lt;=$G$224,$G295=Model_Start_Date),1,IF(AND(P$25&lt;=$G$224,P$26&lt;=$I$224,$G295=Model_Start_Date),1,IF(AND(P$25&lt;=$G$224,P$26&gt;=$G$224,$G295=Model_Start_Date),($I$224-P$25+1)/(P$26-P$25+1),IF(AND($G295&gt;=P$25,$I295&lt;=P$26),($I295-$G295+1)/(P$26-P$25+1),IF(AND($G295&lt;=P$25,$I295&gt;=P$26),1,IF(AND($G295&lt;=P$25,$I295&gt;=P$25),($I295-P$25+1)/(P$26-P$25+1),IF(AND($G295&lt;=P$26,$I295&gt;=P$26),(P$26-$G295+1)/(P$26-P$25+1),0)))))))</f>
        <v>0</v>
      </c>
    </row>
    <row r="296" customFormat="false" ht="13.8" hidden="false" customHeight="false" outlineLevel="0" collapsed="false">
      <c r="B296" s="1"/>
      <c r="D296" s="1"/>
      <c r="F296" s="5" t="e">
        <f aca="false">MATCH(G296,#REF!)</f>
        <v>#VALUE!</v>
      </c>
      <c r="G296" s="169" t="n">
        <f aca="false">IF(I295=0,Model_Start_Date,I295+1)</f>
        <v>47849</v>
      </c>
      <c r="H296" s="1"/>
      <c r="I296" s="169" t="n">
        <f aca="false">EOMONTH(G296,0)</f>
        <v>47879</v>
      </c>
      <c r="K296" s="15" t="s">
        <v>687</v>
      </c>
      <c r="L296" s="12"/>
      <c r="M296" s="170" t="n">
        <f aca="false">IF(AND(M$26&lt;=$G$224,$G296=Model_Start_Date),1,IF(AND(M$25&lt;=$G$224,M$26&lt;=$I$224,$G296=Model_Start_Date),1,IF(AND(M$25&lt;=$G$224,M$26&gt;=$G$224,$G296=Model_Start_Date),($I$224-M$25+1)/(M$26-M$25+1),IF(AND($G296&gt;=M$25,$I296&lt;=M$26),($I296-$G296+1)/(M$26-M$25+1),IF(AND($G296&lt;=M$25,$I296&gt;=M$26),1,IF(AND($G296&lt;=M$25,$I296&gt;=M$25),($I296-M$25+1)/(M$26-M$25+1),IF(AND($G296&lt;=M$26,$I296&gt;=M$26),(M$26-$G296+1)/(M$26-M$25+1),0)))))))</f>
        <v>0</v>
      </c>
      <c r="N296" s="170" t="n">
        <f aca="false">IF(AND(N$26&lt;=$G$224,$G296=Model_Start_Date),1,IF(AND(N$25&lt;=$G$224,N$26&lt;=$I$224,$G296=Model_Start_Date),1,IF(AND(N$25&lt;=$G$224,N$26&gt;=$G$224,$G296=Model_Start_Date),($I$224-N$25+1)/(N$26-N$25+1),IF(AND($G296&gt;=N$25,$I296&lt;=N$26),($I296-$G296+1)/(N$26-N$25+1),IF(AND($G296&lt;=N$25,$I296&gt;=N$26),1,IF(AND($G296&lt;=N$25,$I296&gt;=N$25),($I296-N$25+1)/(N$26-N$25+1),IF(AND($G296&lt;=N$26,$I296&gt;=N$26),(N$26-$G296+1)/(N$26-N$25+1),0)))))))</f>
        <v>0</v>
      </c>
      <c r="O296" s="170" t="n">
        <f aca="false">IF(AND(O$26&lt;=$G$224,$G296=Model_Start_Date),1,IF(AND(O$25&lt;=$G$224,O$26&lt;=$I$224,$G296=Model_Start_Date),1,IF(AND(O$25&lt;=$G$224,O$26&gt;=$G$224,$G296=Model_Start_Date),($I$224-O$25+1)/(O$26-O$25+1),IF(AND($G296&gt;=O$25,$I296&lt;=O$26),($I296-$G296+1)/(O$26-O$25+1),IF(AND($G296&lt;=O$25,$I296&gt;=O$26),1,IF(AND($G296&lt;=O$25,$I296&gt;=O$25),($I296-O$25+1)/(O$26-O$25+1),IF(AND($G296&lt;=O$26,$I296&gt;=O$26),(O$26-$G296+1)/(O$26-O$25+1),0)))))))</f>
        <v>0</v>
      </c>
      <c r="P296" s="170" t="n">
        <f aca="false">IF(AND(P$26&lt;=$G$224,$G296=Model_Start_Date),1,IF(AND(P$25&lt;=$G$224,P$26&lt;=$I$224,$G296=Model_Start_Date),1,IF(AND(P$25&lt;=$G$224,P$26&gt;=$G$224,$G296=Model_Start_Date),($I$224-P$25+1)/(P$26-P$25+1),IF(AND($G296&gt;=P$25,$I296&lt;=P$26),($I296-$G296+1)/(P$26-P$25+1),IF(AND($G296&lt;=P$25,$I296&gt;=P$26),1,IF(AND($G296&lt;=P$25,$I296&gt;=P$25),($I296-P$25+1)/(P$26-P$25+1),IF(AND($G296&lt;=P$26,$I296&gt;=P$26),(P$26-$G296+1)/(P$26-P$25+1),0)))))))</f>
        <v>0</v>
      </c>
    </row>
    <row r="297" customFormat="false" ht="13.8" hidden="false" customHeight="false" outlineLevel="0" collapsed="false">
      <c r="B297" s="1"/>
      <c r="D297" s="1"/>
      <c r="F297" s="5" t="e">
        <f aca="false">MATCH(G297,#REF!)</f>
        <v>#VALUE!</v>
      </c>
      <c r="G297" s="169" t="n">
        <f aca="false">IF(I296=0,Model_Start_Date,I296+1)</f>
        <v>47880</v>
      </c>
      <c r="H297" s="1"/>
      <c r="I297" s="169" t="n">
        <f aca="false">EOMONTH(G297,0)</f>
        <v>47907</v>
      </c>
      <c r="K297" s="15" t="s">
        <v>687</v>
      </c>
      <c r="L297" s="12"/>
      <c r="M297" s="170" t="n">
        <f aca="false">IF(AND(M$26&lt;=$G$224,$G297=Model_Start_Date),1,IF(AND(M$25&lt;=$G$224,M$26&lt;=$I$224,$G297=Model_Start_Date),1,IF(AND(M$25&lt;=$G$224,M$26&gt;=$G$224,$G297=Model_Start_Date),($I$224-M$25+1)/(M$26-M$25+1),IF(AND($G297&gt;=M$25,$I297&lt;=M$26),($I297-$G297+1)/(M$26-M$25+1),IF(AND($G297&lt;=M$25,$I297&gt;=M$26),1,IF(AND($G297&lt;=M$25,$I297&gt;=M$25),($I297-M$25+1)/(M$26-M$25+1),IF(AND($G297&lt;=M$26,$I297&gt;=M$26),(M$26-$G297+1)/(M$26-M$25+1),0)))))))</f>
        <v>0</v>
      </c>
      <c r="N297" s="170" t="n">
        <f aca="false">IF(AND(N$26&lt;=$G$224,$G297=Model_Start_Date),1,IF(AND(N$25&lt;=$G$224,N$26&lt;=$I$224,$G297=Model_Start_Date),1,IF(AND(N$25&lt;=$G$224,N$26&gt;=$G$224,$G297=Model_Start_Date),($I$224-N$25+1)/(N$26-N$25+1),IF(AND($G297&gt;=N$25,$I297&lt;=N$26),($I297-$G297+1)/(N$26-N$25+1),IF(AND($G297&lt;=N$25,$I297&gt;=N$26),1,IF(AND($G297&lt;=N$25,$I297&gt;=N$25),($I297-N$25+1)/(N$26-N$25+1),IF(AND($G297&lt;=N$26,$I297&gt;=N$26),(N$26-$G297+1)/(N$26-N$25+1),0)))))))</f>
        <v>0</v>
      </c>
      <c r="O297" s="170" t="n">
        <f aca="false">IF(AND(O$26&lt;=$G$224,$G297=Model_Start_Date),1,IF(AND(O$25&lt;=$G$224,O$26&lt;=$I$224,$G297=Model_Start_Date),1,IF(AND(O$25&lt;=$G$224,O$26&gt;=$G$224,$G297=Model_Start_Date),($I$224-O$25+1)/(O$26-O$25+1),IF(AND($G297&gt;=O$25,$I297&lt;=O$26),($I297-$G297+1)/(O$26-O$25+1),IF(AND($G297&lt;=O$25,$I297&gt;=O$26),1,IF(AND($G297&lt;=O$25,$I297&gt;=O$25),($I297-O$25+1)/(O$26-O$25+1),IF(AND($G297&lt;=O$26,$I297&gt;=O$26),(O$26-$G297+1)/(O$26-O$25+1),0)))))))</f>
        <v>0</v>
      </c>
      <c r="P297" s="170" t="n">
        <f aca="false">IF(AND(P$26&lt;=$G$224,$G297=Model_Start_Date),1,IF(AND(P$25&lt;=$G$224,P$26&lt;=$I$224,$G297=Model_Start_Date),1,IF(AND(P$25&lt;=$G$224,P$26&gt;=$G$224,$G297=Model_Start_Date),($I$224-P$25+1)/(P$26-P$25+1),IF(AND($G297&gt;=P$25,$I297&lt;=P$26),($I297-$G297+1)/(P$26-P$25+1),IF(AND($G297&lt;=P$25,$I297&gt;=P$26),1,IF(AND($G297&lt;=P$25,$I297&gt;=P$25),($I297-P$25+1)/(P$26-P$25+1),IF(AND($G297&lt;=P$26,$I297&gt;=P$26),(P$26-$G297+1)/(P$26-P$25+1),0)))))))</f>
        <v>0</v>
      </c>
    </row>
    <row r="298" customFormat="false" ht="13.8" hidden="false" customHeight="false" outlineLevel="0" collapsed="false">
      <c r="B298" s="1"/>
      <c r="D298" s="1"/>
      <c r="F298" s="5" t="e">
        <f aca="false">MATCH(G298,#REF!)</f>
        <v>#VALUE!</v>
      </c>
      <c r="G298" s="169" t="n">
        <f aca="false">IF(I297=0,Model_Start_Date,I297+1)</f>
        <v>47908</v>
      </c>
      <c r="H298" s="1"/>
      <c r="I298" s="169" t="n">
        <f aca="false">EOMONTH(G298,0)</f>
        <v>47938</v>
      </c>
      <c r="K298" s="15" t="s">
        <v>687</v>
      </c>
      <c r="L298" s="12"/>
      <c r="M298" s="170" t="n">
        <f aca="false">IF(AND(M$26&lt;=$G$224,$G298=Model_Start_Date),1,IF(AND(M$25&lt;=$G$224,M$26&lt;=$I$224,$G298=Model_Start_Date),1,IF(AND(M$25&lt;=$G$224,M$26&gt;=$G$224,$G298=Model_Start_Date),($I$224-M$25+1)/(M$26-M$25+1),IF(AND($G298&gt;=M$25,$I298&lt;=M$26),($I298-$G298+1)/(M$26-M$25+1),IF(AND($G298&lt;=M$25,$I298&gt;=M$26),1,IF(AND($G298&lt;=M$25,$I298&gt;=M$25),($I298-M$25+1)/(M$26-M$25+1),IF(AND($G298&lt;=M$26,$I298&gt;=M$26),(M$26-$G298+1)/(M$26-M$25+1),0)))))))</f>
        <v>0</v>
      </c>
      <c r="N298" s="170" t="n">
        <f aca="false">IF(AND(N$26&lt;=$G$224,$G298=Model_Start_Date),1,IF(AND(N$25&lt;=$G$224,N$26&lt;=$I$224,$G298=Model_Start_Date),1,IF(AND(N$25&lt;=$G$224,N$26&gt;=$G$224,$G298=Model_Start_Date),($I$224-N$25+1)/(N$26-N$25+1),IF(AND($G298&gt;=N$25,$I298&lt;=N$26),($I298-$G298+1)/(N$26-N$25+1),IF(AND($G298&lt;=N$25,$I298&gt;=N$26),1,IF(AND($G298&lt;=N$25,$I298&gt;=N$25),($I298-N$25+1)/(N$26-N$25+1),IF(AND($G298&lt;=N$26,$I298&gt;=N$26),(N$26-$G298+1)/(N$26-N$25+1),0)))))))</f>
        <v>0</v>
      </c>
      <c r="O298" s="170" t="n">
        <f aca="false">IF(AND(O$26&lt;=$G$224,$G298=Model_Start_Date),1,IF(AND(O$25&lt;=$G$224,O$26&lt;=$I$224,$G298=Model_Start_Date),1,IF(AND(O$25&lt;=$G$224,O$26&gt;=$G$224,$G298=Model_Start_Date),($I$224-O$25+1)/(O$26-O$25+1),IF(AND($G298&gt;=O$25,$I298&lt;=O$26),($I298-$G298+1)/(O$26-O$25+1),IF(AND($G298&lt;=O$25,$I298&gt;=O$26),1,IF(AND($G298&lt;=O$25,$I298&gt;=O$25),($I298-O$25+1)/(O$26-O$25+1),IF(AND($G298&lt;=O$26,$I298&gt;=O$26),(O$26-$G298+1)/(O$26-O$25+1),0)))))))</f>
        <v>0</v>
      </c>
      <c r="P298" s="170" t="n">
        <f aca="false">IF(AND(P$26&lt;=$G$224,$G298=Model_Start_Date),1,IF(AND(P$25&lt;=$G$224,P$26&lt;=$I$224,$G298=Model_Start_Date),1,IF(AND(P$25&lt;=$G$224,P$26&gt;=$G$224,$G298=Model_Start_Date),($I$224-P$25+1)/(P$26-P$25+1),IF(AND($G298&gt;=P$25,$I298&lt;=P$26),($I298-$G298+1)/(P$26-P$25+1),IF(AND($G298&lt;=P$25,$I298&gt;=P$26),1,IF(AND($G298&lt;=P$25,$I298&gt;=P$25),($I298-P$25+1)/(P$26-P$25+1),IF(AND($G298&lt;=P$26,$I298&gt;=P$26),(P$26-$G298+1)/(P$26-P$25+1),0)))))))</f>
        <v>0</v>
      </c>
    </row>
    <row r="299" customFormat="false" ht="13.8" hidden="false" customHeight="false" outlineLevel="0" collapsed="false">
      <c r="B299" s="1"/>
      <c r="D299" s="1"/>
      <c r="F299" s="5" t="e">
        <f aca="false">MATCH(G299,#REF!)</f>
        <v>#VALUE!</v>
      </c>
      <c r="G299" s="169" t="n">
        <f aca="false">IF(I298=0,Model_Start_Date,I298+1)</f>
        <v>47939</v>
      </c>
      <c r="H299" s="1"/>
      <c r="I299" s="169" t="n">
        <f aca="false">EOMONTH(G299,0)</f>
        <v>47968</v>
      </c>
      <c r="K299" s="15" t="s">
        <v>687</v>
      </c>
      <c r="L299" s="12"/>
      <c r="M299" s="170" t="n">
        <f aca="false">IF(AND(M$26&lt;=$G$224,$G299=Model_Start_Date),1,IF(AND(M$25&lt;=$G$224,M$26&lt;=$I$224,$G299=Model_Start_Date),1,IF(AND(M$25&lt;=$G$224,M$26&gt;=$G$224,$G299=Model_Start_Date),($I$224-M$25+1)/(M$26-M$25+1),IF(AND($G299&gt;=M$25,$I299&lt;=M$26),($I299-$G299+1)/(M$26-M$25+1),IF(AND($G299&lt;=M$25,$I299&gt;=M$26),1,IF(AND($G299&lt;=M$25,$I299&gt;=M$25),($I299-M$25+1)/(M$26-M$25+1),IF(AND($G299&lt;=M$26,$I299&gt;=M$26),(M$26-$G299+1)/(M$26-M$25+1),0)))))))</f>
        <v>0</v>
      </c>
      <c r="N299" s="170" t="n">
        <f aca="false">IF(AND(N$26&lt;=$G$224,$G299=Model_Start_Date),1,IF(AND(N$25&lt;=$G$224,N$26&lt;=$I$224,$G299=Model_Start_Date),1,IF(AND(N$25&lt;=$G$224,N$26&gt;=$G$224,$G299=Model_Start_Date),($I$224-N$25+1)/(N$26-N$25+1),IF(AND($G299&gt;=N$25,$I299&lt;=N$26),($I299-$G299+1)/(N$26-N$25+1),IF(AND($G299&lt;=N$25,$I299&gt;=N$26),1,IF(AND($G299&lt;=N$25,$I299&gt;=N$25),($I299-N$25+1)/(N$26-N$25+1),IF(AND($G299&lt;=N$26,$I299&gt;=N$26),(N$26-$G299+1)/(N$26-N$25+1),0)))))))</f>
        <v>0</v>
      </c>
      <c r="O299" s="170" t="n">
        <f aca="false">IF(AND(O$26&lt;=$G$224,$G299=Model_Start_Date),1,IF(AND(O$25&lt;=$G$224,O$26&lt;=$I$224,$G299=Model_Start_Date),1,IF(AND(O$25&lt;=$G$224,O$26&gt;=$G$224,$G299=Model_Start_Date),($I$224-O$25+1)/(O$26-O$25+1),IF(AND($G299&gt;=O$25,$I299&lt;=O$26),($I299-$G299+1)/(O$26-O$25+1),IF(AND($G299&lt;=O$25,$I299&gt;=O$26),1,IF(AND($G299&lt;=O$25,$I299&gt;=O$25),($I299-O$25+1)/(O$26-O$25+1),IF(AND($G299&lt;=O$26,$I299&gt;=O$26),(O$26-$G299+1)/(O$26-O$25+1),0)))))))</f>
        <v>0</v>
      </c>
      <c r="P299" s="170" t="n">
        <f aca="false">IF(AND(P$26&lt;=$G$224,$G299=Model_Start_Date),1,IF(AND(P$25&lt;=$G$224,P$26&lt;=$I$224,$G299=Model_Start_Date),1,IF(AND(P$25&lt;=$G$224,P$26&gt;=$G$224,$G299=Model_Start_Date),($I$224-P$25+1)/(P$26-P$25+1),IF(AND($G299&gt;=P$25,$I299&lt;=P$26),($I299-$G299+1)/(P$26-P$25+1),IF(AND($G299&lt;=P$25,$I299&gt;=P$26),1,IF(AND($G299&lt;=P$25,$I299&gt;=P$25),($I299-P$25+1)/(P$26-P$25+1),IF(AND($G299&lt;=P$26,$I299&gt;=P$26),(P$26-$G299+1)/(P$26-P$25+1),0)))))))</f>
        <v>0</v>
      </c>
    </row>
    <row r="300" customFormat="false" ht="13.8" hidden="false" customHeight="false" outlineLevel="0" collapsed="false">
      <c r="B300" s="1"/>
      <c r="D300" s="1"/>
      <c r="F300" s="5" t="e">
        <f aca="false">MATCH(G300,#REF!)</f>
        <v>#VALUE!</v>
      </c>
      <c r="G300" s="169" t="n">
        <f aca="false">IF(I299=0,Model_Start_Date,I299+1)</f>
        <v>47969</v>
      </c>
      <c r="H300" s="1"/>
      <c r="I300" s="169" t="n">
        <f aca="false">EOMONTH(G300,0)</f>
        <v>47999</v>
      </c>
      <c r="K300" s="15" t="s">
        <v>687</v>
      </c>
      <c r="L300" s="12"/>
      <c r="M300" s="170" t="n">
        <f aca="false">IF(AND(M$26&lt;=$G$224,$G300=Model_Start_Date),1,IF(AND(M$25&lt;=$G$224,M$26&lt;=$I$224,$G300=Model_Start_Date),1,IF(AND(M$25&lt;=$G$224,M$26&gt;=$G$224,$G300=Model_Start_Date),($I$224-M$25+1)/(M$26-M$25+1),IF(AND($G300&gt;=M$25,$I300&lt;=M$26),($I300-$G300+1)/(M$26-M$25+1),IF(AND($G300&lt;=M$25,$I300&gt;=M$26),1,IF(AND($G300&lt;=M$25,$I300&gt;=M$25),($I300-M$25+1)/(M$26-M$25+1),IF(AND($G300&lt;=M$26,$I300&gt;=M$26),(M$26-$G300+1)/(M$26-M$25+1),0)))))))</f>
        <v>0</v>
      </c>
      <c r="N300" s="170" t="n">
        <f aca="false">IF(AND(N$26&lt;=$G$224,$G300=Model_Start_Date),1,IF(AND(N$25&lt;=$G$224,N$26&lt;=$I$224,$G300=Model_Start_Date),1,IF(AND(N$25&lt;=$G$224,N$26&gt;=$G$224,$G300=Model_Start_Date),($I$224-N$25+1)/(N$26-N$25+1),IF(AND($G300&gt;=N$25,$I300&lt;=N$26),($I300-$G300+1)/(N$26-N$25+1),IF(AND($G300&lt;=N$25,$I300&gt;=N$26),1,IF(AND($G300&lt;=N$25,$I300&gt;=N$25),($I300-N$25+1)/(N$26-N$25+1),IF(AND($G300&lt;=N$26,$I300&gt;=N$26),(N$26-$G300+1)/(N$26-N$25+1),0)))))))</f>
        <v>0</v>
      </c>
      <c r="O300" s="170" t="n">
        <f aca="false">IF(AND(O$26&lt;=$G$224,$G300=Model_Start_Date),1,IF(AND(O$25&lt;=$G$224,O$26&lt;=$I$224,$G300=Model_Start_Date),1,IF(AND(O$25&lt;=$G$224,O$26&gt;=$G$224,$G300=Model_Start_Date),($I$224-O$25+1)/(O$26-O$25+1),IF(AND($G300&gt;=O$25,$I300&lt;=O$26),($I300-$G300+1)/(O$26-O$25+1),IF(AND($G300&lt;=O$25,$I300&gt;=O$26),1,IF(AND($G300&lt;=O$25,$I300&gt;=O$25),($I300-O$25+1)/(O$26-O$25+1),IF(AND($G300&lt;=O$26,$I300&gt;=O$26),(O$26-$G300+1)/(O$26-O$25+1),0)))))))</f>
        <v>0</v>
      </c>
      <c r="P300" s="170" t="n">
        <f aca="false">IF(AND(P$26&lt;=$G$224,$G300=Model_Start_Date),1,IF(AND(P$25&lt;=$G$224,P$26&lt;=$I$224,$G300=Model_Start_Date),1,IF(AND(P$25&lt;=$G$224,P$26&gt;=$G$224,$G300=Model_Start_Date),($I$224-P$25+1)/(P$26-P$25+1),IF(AND($G300&gt;=P$25,$I300&lt;=P$26),($I300-$G300+1)/(P$26-P$25+1),IF(AND($G300&lt;=P$25,$I300&gt;=P$26),1,IF(AND($G300&lt;=P$25,$I300&gt;=P$25),($I300-P$25+1)/(P$26-P$25+1),IF(AND($G300&lt;=P$26,$I300&gt;=P$26),(P$26-$G300+1)/(P$26-P$25+1),0)))))))</f>
        <v>0</v>
      </c>
    </row>
    <row r="301" customFormat="false" ht="13.8" hidden="false" customHeight="false" outlineLevel="0" collapsed="false">
      <c r="B301" s="1"/>
      <c r="D301" s="1"/>
      <c r="F301" s="5" t="e">
        <f aca="false">MATCH(G301,#REF!)</f>
        <v>#VALUE!</v>
      </c>
      <c r="G301" s="169" t="n">
        <f aca="false">IF(I300=0,Model_Start_Date,I300+1)</f>
        <v>48000</v>
      </c>
      <c r="H301" s="1"/>
      <c r="I301" s="169" t="n">
        <f aca="false">EOMONTH(G301,0)</f>
        <v>48029</v>
      </c>
      <c r="K301" s="15" t="s">
        <v>687</v>
      </c>
      <c r="L301" s="12"/>
      <c r="M301" s="170" t="n">
        <f aca="false">IF(AND(M$26&lt;=$G$224,$G301=Model_Start_Date),1,IF(AND(M$25&lt;=$G$224,M$26&lt;=$I$224,$G301=Model_Start_Date),1,IF(AND(M$25&lt;=$G$224,M$26&gt;=$G$224,$G301=Model_Start_Date),($I$224-M$25+1)/(M$26-M$25+1),IF(AND($G301&gt;=M$25,$I301&lt;=M$26),($I301-$G301+1)/(M$26-M$25+1),IF(AND($G301&lt;=M$25,$I301&gt;=M$26),1,IF(AND($G301&lt;=M$25,$I301&gt;=M$25),($I301-M$25+1)/(M$26-M$25+1),IF(AND($G301&lt;=M$26,$I301&gt;=M$26),(M$26-$G301+1)/(M$26-M$25+1),0)))))))</f>
        <v>0</v>
      </c>
      <c r="N301" s="170" t="n">
        <f aca="false">IF(AND(N$26&lt;=$G$224,$G301=Model_Start_Date),1,IF(AND(N$25&lt;=$G$224,N$26&lt;=$I$224,$G301=Model_Start_Date),1,IF(AND(N$25&lt;=$G$224,N$26&gt;=$G$224,$G301=Model_Start_Date),($I$224-N$25+1)/(N$26-N$25+1),IF(AND($G301&gt;=N$25,$I301&lt;=N$26),($I301-$G301+1)/(N$26-N$25+1),IF(AND($G301&lt;=N$25,$I301&gt;=N$26),1,IF(AND($G301&lt;=N$25,$I301&gt;=N$25),($I301-N$25+1)/(N$26-N$25+1),IF(AND($G301&lt;=N$26,$I301&gt;=N$26),(N$26-$G301+1)/(N$26-N$25+1),0)))))))</f>
        <v>0</v>
      </c>
      <c r="O301" s="170" t="n">
        <f aca="false">IF(AND(O$26&lt;=$G$224,$G301=Model_Start_Date),1,IF(AND(O$25&lt;=$G$224,O$26&lt;=$I$224,$G301=Model_Start_Date),1,IF(AND(O$25&lt;=$G$224,O$26&gt;=$G$224,$G301=Model_Start_Date),($I$224-O$25+1)/(O$26-O$25+1),IF(AND($G301&gt;=O$25,$I301&lt;=O$26),($I301-$G301+1)/(O$26-O$25+1),IF(AND($G301&lt;=O$25,$I301&gt;=O$26),1,IF(AND($G301&lt;=O$25,$I301&gt;=O$25),($I301-O$25+1)/(O$26-O$25+1),IF(AND($G301&lt;=O$26,$I301&gt;=O$26),(O$26-$G301+1)/(O$26-O$25+1),0)))))))</f>
        <v>0</v>
      </c>
      <c r="P301" s="170" t="n">
        <f aca="false">IF(AND(P$26&lt;=$G$224,$G301=Model_Start_Date),1,IF(AND(P$25&lt;=$G$224,P$26&lt;=$I$224,$G301=Model_Start_Date),1,IF(AND(P$25&lt;=$G$224,P$26&gt;=$G$224,$G301=Model_Start_Date),($I$224-P$25+1)/(P$26-P$25+1),IF(AND($G301&gt;=P$25,$I301&lt;=P$26),($I301-$G301+1)/(P$26-P$25+1),IF(AND($G301&lt;=P$25,$I301&gt;=P$26),1,IF(AND($G301&lt;=P$25,$I301&gt;=P$25),($I301-P$25+1)/(P$26-P$25+1),IF(AND($G301&lt;=P$26,$I301&gt;=P$26),(P$26-$G301+1)/(P$26-P$25+1),0)))))))</f>
        <v>0</v>
      </c>
    </row>
    <row r="302" customFormat="false" ht="13.8" hidden="false" customHeight="false" outlineLevel="0" collapsed="false">
      <c r="B302" s="1"/>
      <c r="D302" s="1"/>
      <c r="F302" s="5" t="e">
        <f aca="false">MATCH(G302,#REF!)</f>
        <v>#VALUE!</v>
      </c>
      <c r="G302" s="169" t="n">
        <f aca="false">IF(I301=0,Model_Start_Date,I301+1)</f>
        <v>48030</v>
      </c>
      <c r="H302" s="1"/>
      <c r="I302" s="169" t="n">
        <f aca="false">EOMONTH(G302,0)</f>
        <v>48060</v>
      </c>
      <c r="K302" s="15" t="s">
        <v>687</v>
      </c>
      <c r="L302" s="12"/>
      <c r="M302" s="170" t="n">
        <f aca="false">IF(AND(M$26&lt;=$G$224,$G302=Model_Start_Date),1,IF(AND(M$25&lt;=$G$224,M$26&lt;=$I$224,$G302=Model_Start_Date),1,IF(AND(M$25&lt;=$G$224,M$26&gt;=$G$224,$G302=Model_Start_Date),($I$224-M$25+1)/(M$26-M$25+1),IF(AND($G302&gt;=M$25,$I302&lt;=M$26),($I302-$G302+1)/(M$26-M$25+1),IF(AND($G302&lt;=M$25,$I302&gt;=M$26),1,IF(AND($G302&lt;=M$25,$I302&gt;=M$25),($I302-M$25+1)/(M$26-M$25+1),IF(AND($G302&lt;=M$26,$I302&gt;=M$26),(M$26-$G302+1)/(M$26-M$25+1),0)))))))</f>
        <v>0</v>
      </c>
      <c r="N302" s="170" t="n">
        <f aca="false">IF(AND(N$26&lt;=$G$224,$G302=Model_Start_Date),1,IF(AND(N$25&lt;=$G$224,N$26&lt;=$I$224,$G302=Model_Start_Date),1,IF(AND(N$25&lt;=$G$224,N$26&gt;=$G$224,$G302=Model_Start_Date),($I$224-N$25+1)/(N$26-N$25+1),IF(AND($G302&gt;=N$25,$I302&lt;=N$26),($I302-$G302+1)/(N$26-N$25+1),IF(AND($G302&lt;=N$25,$I302&gt;=N$26),1,IF(AND($G302&lt;=N$25,$I302&gt;=N$25),($I302-N$25+1)/(N$26-N$25+1),IF(AND($G302&lt;=N$26,$I302&gt;=N$26),(N$26-$G302+1)/(N$26-N$25+1),0)))))))</f>
        <v>0</v>
      </c>
      <c r="O302" s="170" t="n">
        <f aca="false">IF(AND(O$26&lt;=$G$224,$G302=Model_Start_Date),1,IF(AND(O$25&lt;=$G$224,O$26&lt;=$I$224,$G302=Model_Start_Date),1,IF(AND(O$25&lt;=$G$224,O$26&gt;=$G$224,$G302=Model_Start_Date),($I$224-O$25+1)/(O$26-O$25+1),IF(AND($G302&gt;=O$25,$I302&lt;=O$26),($I302-$G302+1)/(O$26-O$25+1),IF(AND($G302&lt;=O$25,$I302&gt;=O$26),1,IF(AND($G302&lt;=O$25,$I302&gt;=O$25),($I302-O$25+1)/(O$26-O$25+1),IF(AND($G302&lt;=O$26,$I302&gt;=O$26),(O$26-$G302+1)/(O$26-O$25+1),0)))))))</f>
        <v>0</v>
      </c>
      <c r="P302" s="170" t="n">
        <f aca="false">IF(AND(P$26&lt;=$G$224,$G302=Model_Start_Date),1,IF(AND(P$25&lt;=$G$224,P$26&lt;=$I$224,$G302=Model_Start_Date),1,IF(AND(P$25&lt;=$G$224,P$26&gt;=$G$224,$G302=Model_Start_Date),($I$224-P$25+1)/(P$26-P$25+1),IF(AND($G302&gt;=P$25,$I302&lt;=P$26),($I302-$G302+1)/(P$26-P$25+1),IF(AND($G302&lt;=P$25,$I302&gt;=P$26),1,IF(AND($G302&lt;=P$25,$I302&gt;=P$25),($I302-P$25+1)/(P$26-P$25+1),IF(AND($G302&lt;=P$26,$I302&gt;=P$26),(P$26-$G302+1)/(P$26-P$25+1),0)))))))</f>
        <v>0</v>
      </c>
    </row>
    <row r="303" customFormat="false" ht="13.8" hidden="false" customHeight="false" outlineLevel="0" collapsed="false">
      <c r="B303" s="1"/>
      <c r="D303" s="1"/>
      <c r="F303" s="5" t="e">
        <f aca="false">MATCH(G303,#REF!)</f>
        <v>#VALUE!</v>
      </c>
      <c r="G303" s="169" t="n">
        <f aca="false">IF(I302=0,Model_Start_Date,I302+1)</f>
        <v>48061</v>
      </c>
      <c r="H303" s="1"/>
      <c r="I303" s="169" t="n">
        <f aca="false">EOMONTH(G303,0)</f>
        <v>48091</v>
      </c>
      <c r="K303" s="15" t="s">
        <v>687</v>
      </c>
      <c r="L303" s="12"/>
      <c r="M303" s="170" t="n">
        <f aca="false">IF(AND(M$26&lt;=$G$224,$G303=Model_Start_Date),1,IF(AND(M$25&lt;=$G$224,M$26&lt;=$I$224,$G303=Model_Start_Date),1,IF(AND(M$25&lt;=$G$224,M$26&gt;=$G$224,$G303=Model_Start_Date),($I$224-M$25+1)/(M$26-M$25+1),IF(AND($G303&gt;=M$25,$I303&lt;=M$26),($I303-$G303+1)/(M$26-M$25+1),IF(AND($G303&lt;=M$25,$I303&gt;=M$26),1,IF(AND($G303&lt;=M$25,$I303&gt;=M$25),($I303-M$25+1)/(M$26-M$25+1),IF(AND($G303&lt;=M$26,$I303&gt;=M$26),(M$26-$G303+1)/(M$26-M$25+1),0)))))))</f>
        <v>0</v>
      </c>
      <c r="N303" s="170" t="n">
        <f aca="false">IF(AND(N$26&lt;=$G$224,$G303=Model_Start_Date),1,IF(AND(N$25&lt;=$G$224,N$26&lt;=$I$224,$G303=Model_Start_Date),1,IF(AND(N$25&lt;=$G$224,N$26&gt;=$G$224,$G303=Model_Start_Date),($I$224-N$25+1)/(N$26-N$25+1),IF(AND($G303&gt;=N$25,$I303&lt;=N$26),($I303-$G303+1)/(N$26-N$25+1),IF(AND($G303&lt;=N$25,$I303&gt;=N$26),1,IF(AND($G303&lt;=N$25,$I303&gt;=N$25),($I303-N$25+1)/(N$26-N$25+1),IF(AND($G303&lt;=N$26,$I303&gt;=N$26),(N$26-$G303+1)/(N$26-N$25+1),0)))))))</f>
        <v>0</v>
      </c>
      <c r="O303" s="170" t="n">
        <f aca="false">IF(AND(O$26&lt;=$G$224,$G303=Model_Start_Date),1,IF(AND(O$25&lt;=$G$224,O$26&lt;=$I$224,$G303=Model_Start_Date),1,IF(AND(O$25&lt;=$G$224,O$26&gt;=$G$224,$G303=Model_Start_Date),($I$224-O$25+1)/(O$26-O$25+1),IF(AND($G303&gt;=O$25,$I303&lt;=O$26),($I303-$G303+1)/(O$26-O$25+1),IF(AND($G303&lt;=O$25,$I303&gt;=O$26),1,IF(AND($G303&lt;=O$25,$I303&gt;=O$25),($I303-O$25+1)/(O$26-O$25+1),IF(AND($G303&lt;=O$26,$I303&gt;=O$26),(O$26-$G303+1)/(O$26-O$25+1),0)))))))</f>
        <v>0</v>
      </c>
      <c r="P303" s="170" t="n">
        <f aca="false">IF(AND(P$26&lt;=$G$224,$G303=Model_Start_Date),1,IF(AND(P$25&lt;=$G$224,P$26&lt;=$I$224,$G303=Model_Start_Date),1,IF(AND(P$25&lt;=$G$224,P$26&gt;=$G$224,$G303=Model_Start_Date),($I$224-P$25+1)/(P$26-P$25+1),IF(AND($G303&gt;=P$25,$I303&lt;=P$26),($I303-$G303+1)/(P$26-P$25+1),IF(AND($G303&lt;=P$25,$I303&gt;=P$26),1,IF(AND($G303&lt;=P$25,$I303&gt;=P$25),($I303-P$25+1)/(P$26-P$25+1),IF(AND($G303&lt;=P$26,$I303&gt;=P$26),(P$26-$G303+1)/(P$26-P$25+1),0)))))))</f>
        <v>0</v>
      </c>
    </row>
    <row r="304" customFormat="false" ht="13.8" hidden="false" customHeight="false" outlineLevel="0" collapsed="false">
      <c r="B304" s="1"/>
      <c r="D304" s="1"/>
      <c r="F304" s="5" t="e">
        <f aca="false">MATCH(G304,#REF!)</f>
        <v>#VALUE!</v>
      </c>
      <c r="G304" s="169" t="n">
        <f aca="false">IF(I303=0,Model_Start_Date,I303+1)</f>
        <v>48092</v>
      </c>
      <c r="H304" s="1"/>
      <c r="I304" s="169" t="n">
        <f aca="false">EOMONTH(G304,0)</f>
        <v>48121</v>
      </c>
      <c r="K304" s="15" t="s">
        <v>687</v>
      </c>
      <c r="L304" s="12"/>
      <c r="M304" s="170" t="n">
        <f aca="false">IF(AND(M$26&lt;=$G$224,$G304=Model_Start_Date),1,IF(AND(M$25&lt;=$G$224,M$26&lt;=$I$224,$G304=Model_Start_Date),1,IF(AND(M$25&lt;=$G$224,M$26&gt;=$G$224,$G304=Model_Start_Date),($I$224-M$25+1)/(M$26-M$25+1),IF(AND($G304&gt;=M$25,$I304&lt;=M$26),($I304-$G304+1)/(M$26-M$25+1),IF(AND($G304&lt;=M$25,$I304&gt;=M$26),1,IF(AND($G304&lt;=M$25,$I304&gt;=M$25),($I304-M$25+1)/(M$26-M$25+1),IF(AND($G304&lt;=M$26,$I304&gt;=M$26),(M$26-$G304+1)/(M$26-M$25+1),0)))))))</f>
        <v>0</v>
      </c>
      <c r="N304" s="170" t="n">
        <f aca="false">IF(AND(N$26&lt;=$G$224,$G304=Model_Start_Date),1,IF(AND(N$25&lt;=$G$224,N$26&lt;=$I$224,$G304=Model_Start_Date),1,IF(AND(N$25&lt;=$G$224,N$26&gt;=$G$224,$G304=Model_Start_Date),($I$224-N$25+1)/(N$26-N$25+1),IF(AND($G304&gt;=N$25,$I304&lt;=N$26),($I304-$G304+1)/(N$26-N$25+1),IF(AND($G304&lt;=N$25,$I304&gt;=N$26),1,IF(AND($G304&lt;=N$25,$I304&gt;=N$25),($I304-N$25+1)/(N$26-N$25+1),IF(AND($G304&lt;=N$26,$I304&gt;=N$26),(N$26-$G304+1)/(N$26-N$25+1),0)))))))</f>
        <v>0</v>
      </c>
      <c r="O304" s="170" t="n">
        <f aca="false">IF(AND(O$26&lt;=$G$224,$G304=Model_Start_Date),1,IF(AND(O$25&lt;=$G$224,O$26&lt;=$I$224,$G304=Model_Start_Date),1,IF(AND(O$25&lt;=$G$224,O$26&gt;=$G$224,$G304=Model_Start_Date),($I$224-O$25+1)/(O$26-O$25+1),IF(AND($G304&gt;=O$25,$I304&lt;=O$26),($I304-$G304+1)/(O$26-O$25+1),IF(AND($G304&lt;=O$25,$I304&gt;=O$26),1,IF(AND($G304&lt;=O$25,$I304&gt;=O$25),($I304-O$25+1)/(O$26-O$25+1),IF(AND($G304&lt;=O$26,$I304&gt;=O$26),(O$26-$G304+1)/(O$26-O$25+1),0)))))))</f>
        <v>0</v>
      </c>
      <c r="P304" s="170" t="n">
        <f aca="false">IF(AND(P$26&lt;=$G$224,$G304=Model_Start_Date),1,IF(AND(P$25&lt;=$G$224,P$26&lt;=$I$224,$G304=Model_Start_Date),1,IF(AND(P$25&lt;=$G$224,P$26&gt;=$G$224,$G304=Model_Start_Date),($I$224-P$25+1)/(P$26-P$25+1),IF(AND($G304&gt;=P$25,$I304&lt;=P$26),($I304-$G304+1)/(P$26-P$25+1),IF(AND($G304&lt;=P$25,$I304&gt;=P$26),1,IF(AND($G304&lt;=P$25,$I304&gt;=P$25),($I304-P$25+1)/(P$26-P$25+1),IF(AND($G304&lt;=P$26,$I304&gt;=P$26),(P$26-$G304+1)/(P$26-P$25+1),0)))))))</f>
        <v>0</v>
      </c>
    </row>
    <row r="305" customFormat="false" ht="13.8" hidden="false" customHeight="false" outlineLevel="0" collapsed="false">
      <c r="B305" s="1"/>
      <c r="D305" s="1"/>
      <c r="F305" s="5" t="e">
        <f aca="false">MATCH(G305,#REF!)</f>
        <v>#VALUE!</v>
      </c>
      <c r="G305" s="169" t="n">
        <f aca="false">IF(I304=0,Model_Start_Date,I304+1)</f>
        <v>48122</v>
      </c>
      <c r="H305" s="1"/>
      <c r="I305" s="169" t="n">
        <f aca="false">EOMONTH(G305,0)</f>
        <v>48152</v>
      </c>
      <c r="K305" s="15" t="s">
        <v>687</v>
      </c>
      <c r="L305" s="12"/>
      <c r="M305" s="170" t="n">
        <f aca="false">IF(AND(M$26&lt;=$G$224,$G305=Model_Start_Date),1,IF(AND(M$25&lt;=$G$224,M$26&lt;=$I$224,$G305=Model_Start_Date),1,IF(AND(M$25&lt;=$G$224,M$26&gt;=$G$224,$G305=Model_Start_Date),($I$224-M$25+1)/(M$26-M$25+1),IF(AND($G305&gt;=M$25,$I305&lt;=M$26),($I305-$G305+1)/(M$26-M$25+1),IF(AND($G305&lt;=M$25,$I305&gt;=M$26),1,IF(AND($G305&lt;=M$25,$I305&gt;=M$25),($I305-M$25+1)/(M$26-M$25+1),IF(AND($G305&lt;=M$26,$I305&gt;=M$26),(M$26-$G305+1)/(M$26-M$25+1),0)))))))</f>
        <v>0</v>
      </c>
      <c r="N305" s="170" t="n">
        <f aca="false">IF(AND(N$26&lt;=$G$224,$G305=Model_Start_Date),1,IF(AND(N$25&lt;=$G$224,N$26&lt;=$I$224,$G305=Model_Start_Date),1,IF(AND(N$25&lt;=$G$224,N$26&gt;=$G$224,$G305=Model_Start_Date),($I$224-N$25+1)/(N$26-N$25+1),IF(AND($G305&gt;=N$25,$I305&lt;=N$26),($I305-$G305+1)/(N$26-N$25+1),IF(AND($G305&lt;=N$25,$I305&gt;=N$26),1,IF(AND($G305&lt;=N$25,$I305&gt;=N$25),($I305-N$25+1)/(N$26-N$25+1),IF(AND($G305&lt;=N$26,$I305&gt;=N$26),(N$26-$G305+1)/(N$26-N$25+1),0)))))))</f>
        <v>0</v>
      </c>
      <c r="O305" s="170" t="n">
        <f aca="false">IF(AND(O$26&lt;=$G$224,$G305=Model_Start_Date),1,IF(AND(O$25&lt;=$G$224,O$26&lt;=$I$224,$G305=Model_Start_Date),1,IF(AND(O$25&lt;=$G$224,O$26&gt;=$G$224,$G305=Model_Start_Date),($I$224-O$25+1)/(O$26-O$25+1),IF(AND($G305&gt;=O$25,$I305&lt;=O$26),($I305-$G305+1)/(O$26-O$25+1),IF(AND($G305&lt;=O$25,$I305&gt;=O$26),1,IF(AND($G305&lt;=O$25,$I305&gt;=O$25),($I305-O$25+1)/(O$26-O$25+1),IF(AND($G305&lt;=O$26,$I305&gt;=O$26),(O$26-$G305+1)/(O$26-O$25+1),0)))))))</f>
        <v>0</v>
      </c>
      <c r="P305" s="170" t="n">
        <f aca="false">IF(AND(P$26&lt;=$G$224,$G305=Model_Start_Date),1,IF(AND(P$25&lt;=$G$224,P$26&lt;=$I$224,$G305=Model_Start_Date),1,IF(AND(P$25&lt;=$G$224,P$26&gt;=$G$224,$G305=Model_Start_Date),($I$224-P$25+1)/(P$26-P$25+1),IF(AND($G305&gt;=P$25,$I305&lt;=P$26),($I305-$G305+1)/(P$26-P$25+1),IF(AND($G305&lt;=P$25,$I305&gt;=P$26),1,IF(AND($G305&lt;=P$25,$I305&gt;=P$25),($I305-P$25+1)/(P$26-P$25+1),IF(AND($G305&lt;=P$26,$I305&gt;=P$26),(P$26-$G305+1)/(P$26-P$25+1),0)))))))</f>
        <v>0</v>
      </c>
    </row>
    <row r="306" customFormat="false" ht="13.8" hidden="false" customHeight="false" outlineLevel="0" collapsed="false">
      <c r="B306" s="1"/>
      <c r="D306" s="1"/>
      <c r="F306" s="5" t="e">
        <f aca="false">MATCH(G306,#REF!)</f>
        <v>#VALUE!</v>
      </c>
      <c r="G306" s="169" t="n">
        <f aca="false">IF(I305=0,Model_Start_Date,I305+1)</f>
        <v>48153</v>
      </c>
      <c r="H306" s="1"/>
      <c r="I306" s="169" t="n">
        <f aca="false">EOMONTH(G306,0)</f>
        <v>48182</v>
      </c>
      <c r="K306" s="15" t="s">
        <v>687</v>
      </c>
      <c r="L306" s="12"/>
      <c r="M306" s="170" t="n">
        <f aca="false">IF(AND(M$26&lt;=$G$224,$G306=Model_Start_Date),1,IF(AND(M$25&lt;=$G$224,M$26&lt;=$I$224,$G306=Model_Start_Date),1,IF(AND(M$25&lt;=$G$224,M$26&gt;=$G$224,$G306=Model_Start_Date),($I$224-M$25+1)/(M$26-M$25+1),IF(AND($G306&gt;=M$25,$I306&lt;=M$26),($I306-$G306+1)/(M$26-M$25+1),IF(AND($G306&lt;=M$25,$I306&gt;=M$26),1,IF(AND($G306&lt;=M$25,$I306&gt;=M$25),($I306-M$25+1)/(M$26-M$25+1),IF(AND($G306&lt;=M$26,$I306&gt;=M$26),(M$26-$G306+1)/(M$26-M$25+1),0)))))))</f>
        <v>0</v>
      </c>
      <c r="N306" s="170" t="n">
        <f aca="false">IF(AND(N$26&lt;=$G$224,$G306=Model_Start_Date),1,IF(AND(N$25&lt;=$G$224,N$26&lt;=$I$224,$G306=Model_Start_Date),1,IF(AND(N$25&lt;=$G$224,N$26&gt;=$G$224,$G306=Model_Start_Date),($I$224-N$25+1)/(N$26-N$25+1),IF(AND($G306&gt;=N$25,$I306&lt;=N$26),($I306-$G306+1)/(N$26-N$25+1),IF(AND($G306&lt;=N$25,$I306&gt;=N$26),1,IF(AND($G306&lt;=N$25,$I306&gt;=N$25),($I306-N$25+1)/(N$26-N$25+1),IF(AND($G306&lt;=N$26,$I306&gt;=N$26),(N$26-$G306+1)/(N$26-N$25+1),0)))))))</f>
        <v>0</v>
      </c>
      <c r="O306" s="170" t="n">
        <f aca="false">IF(AND(O$26&lt;=$G$224,$G306=Model_Start_Date),1,IF(AND(O$25&lt;=$G$224,O$26&lt;=$I$224,$G306=Model_Start_Date),1,IF(AND(O$25&lt;=$G$224,O$26&gt;=$G$224,$G306=Model_Start_Date),($I$224-O$25+1)/(O$26-O$25+1),IF(AND($G306&gt;=O$25,$I306&lt;=O$26),($I306-$G306+1)/(O$26-O$25+1),IF(AND($G306&lt;=O$25,$I306&gt;=O$26),1,IF(AND($G306&lt;=O$25,$I306&gt;=O$25),($I306-O$25+1)/(O$26-O$25+1),IF(AND($G306&lt;=O$26,$I306&gt;=O$26),(O$26-$G306+1)/(O$26-O$25+1),0)))))))</f>
        <v>0</v>
      </c>
      <c r="P306" s="170" t="n">
        <f aca="false">IF(AND(P$26&lt;=$G$224,$G306=Model_Start_Date),1,IF(AND(P$25&lt;=$G$224,P$26&lt;=$I$224,$G306=Model_Start_Date),1,IF(AND(P$25&lt;=$G$224,P$26&gt;=$G$224,$G306=Model_Start_Date),($I$224-P$25+1)/(P$26-P$25+1),IF(AND($G306&gt;=P$25,$I306&lt;=P$26),($I306-$G306+1)/(P$26-P$25+1),IF(AND($G306&lt;=P$25,$I306&gt;=P$26),1,IF(AND($G306&lt;=P$25,$I306&gt;=P$25),($I306-P$25+1)/(P$26-P$25+1),IF(AND($G306&lt;=P$26,$I306&gt;=P$26),(P$26-$G306+1)/(P$26-P$25+1),0)))))))</f>
        <v>0</v>
      </c>
    </row>
    <row r="307" customFormat="false" ht="13.8" hidden="false" customHeight="false" outlineLevel="0" collapsed="false">
      <c r="B307" s="1"/>
      <c r="D307" s="1"/>
      <c r="F307" s="5" t="e">
        <f aca="false">MATCH(G307,#REF!)</f>
        <v>#VALUE!</v>
      </c>
      <c r="G307" s="169" t="n">
        <f aca="false">IF(I306=0,Model_Start_Date,I306+1)</f>
        <v>48183</v>
      </c>
      <c r="H307" s="1"/>
      <c r="I307" s="169" t="n">
        <f aca="false">EOMONTH(G307,0)</f>
        <v>48213</v>
      </c>
      <c r="K307" s="15" t="s">
        <v>687</v>
      </c>
      <c r="L307" s="12"/>
      <c r="M307" s="170" t="n">
        <f aca="false">IF(AND(M$26&lt;=$G$224,$G307=Model_Start_Date),1,IF(AND(M$25&lt;=$G$224,M$26&lt;=$I$224,$G307=Model_Start_Date),1,IF(AND(M$25&lt;=$G$224,M$26&gt;=$G$224,$G307=Model_Start_Date),($I$224-M$25+1)/(M$26-M$25+1),IF(AND($G307&gt;=M$25,$I307&lt;=M$26),($I307-$G307+1)/(M$26-M$25+1),IF(AND($G307&lt;=M$25,$I307&gt;=M$26),1,IF(AND($G307&lt;=M$25,$I307&gt;=M$25),($I307-M$25+1)/(M$26-M$25+1),IF(AND($G307&lt;=M$26,$I307&gt;=M$26),(M$26-$G307+1)/(M$26-M$25+1),0)))))))</f>
        <v>0</v>
      </c>
      <c r="N307" s="170" t="n">
        <f aca="false">IF(AND(N$26&lt;=$G$224,$G307=Model_Start_Date),1,IF(AND(N$25&lt;=$G$224,N$26&lt;=$I$224,$G307=Model_Start_Date),1,IF(AND(N$25&lt;=$G$224,N$26&gt;=$G$224,$G307=Model_Start_Date),($I$224-N$25+1)/(N$26-N$25+1),IF(AND($G307&gt;=N$25,$I307&lt;=N$26),($I307-$G307+1)/(N$26-N$25+1),IF(AND($G307&lt;=N$25,$I307&gt;=N$26),1,IF(AND($G307&lt;=N$25,$I307&gt;=N$25),($I307-N$25+1)/(N$26-N$25+1),IF(AND($G307&lt;=N$26,$I307&gt;=N$26),(N$26-$G307+1)/(N$26-N$25+1),0)))))))</f>
        <v>0</v>
      </c>
      <c r="O307" s="170" t="n">
        <f aca="false">IF(AND(O$26&lt;=$G$224,$G307=Model_Start_Date),1,IF(AND(O$25&lt;=$G$224,O$26&lt;=$I$224,$G307=Model_Start_Date),1,IF(AND(O$25&lt;=$G$224,O$26&gt;=$G$224,$G307=Model_Start_Date),($I$224-O$25+1)/(O$26-O$25+1),IF(AND($G307&gt;=O$25,$I307&lt;=O$26),($I307-$G307+1)/(O$26-O$25+1),IF(AND($G307&lt;=O$25,$I307&gt;=O$26),1,IF(AND($G307&lt;=O$25,$I307&gt;=O$25),($I307-O$25+1)/(O$26-O$25+1),IF(AND($G307&lt;=O$26,$I307&gt;=O$26),(O$26-$G307+1)/(O$26-O$25+1),0)))))))</f>
        <v>0</v>
      </c>
      <c r="P307" s="170" t="n">
        <f aca="false">IF(AND(P$26&lt;=$G$224,$G307=Model_Start_Date),1,IF(AND(P$25&lt;=$G$224,P$26&lt;=$I$224,$G307=Model_Start_Date),1,IF(AND(P$25&lt;=$G$224,P$26&gt;=$G$224,$G307=Model_Start_Date),($I$224-P$25+1)/(P$26-P$25+1),IF(AND($G307&gt;=P$25,$I307&lt;=P$26),($I307-$G307+1)/(P$26-P$25+1),IF(AND($G307&lt;=P$25,$I307&gt;=P$26),1,IF(AND($G307&lt;=P$25,$I307&gt;=P$25),($I307-P$25+1)/(P$26-P$25+1),IF(AND($G307&lt;=P$26,$I307&gt;=P$26),(P$26-$G307+1)/(P$26-P$25+1),0)))))))</f>
        <v>0</v>
      </c>
    </row>
    <row r="308" customFormat="false" ht="13.8" hidden="false" customHeight="false" outlineLevel="0" collapsed="false">
      <c r="B308" s="1"/>
      <c r="D308" s="1"/>
      <c r="F308" s="5" t="e">
        <f aca="false">MATCH(G308,#REF!)</f>
        <v>#VALUE!</v>
      </c>
      <c r="G308" s="169" t="n">
        <f aca="false">IF(I307=0,Model_Start_Date,I307+1)</f>
        <v>48214</v>
      </c>
      <c r="H308" s="1"/>
      <c r="I308" s="169" t="n">
        <f aca="false">EOMONTH(G308,0)</f>
        <v>48244</v>
      </c>
      <c r="K308" s="15" t="s">
        <v>687</v>
      </c>
      <c r="L308" s="12"/>
      <c r="M308" s="170" t="n">
        <f aca="false">IF(AND(M$26&lt;=$G$224,$G308=Model_Start_Date),1,IF(AND(M$25&lt;=$G$224,M$26&lt;=$I$224,$G308=Model_Start_Date),1,IF(AND(M$25&lt;=$G$224,M$26&gt;=$G$224,$G308=Model_Start_Date),($I$224-M$25+1)/(M$26-M$25+1),IF(AND($G308&gt;=M$25,$I308&lt;=M$26),($I308-$G308+1)/(M$26-M$25+1),IF(AND($G308&lt;=M$25,$I308&gt;=M$26),1,IF(AND($G308&lt;=M$25,$I308&gt;=M$25),($I308-M$25+1)/(M$26-M$25+1),IF(AND($G308&lt;=M$26,$I308&gt;=M$26),(M$26-$G308+1)/(M$26-M$25+1),0)))))))</f>
        <v>0</v>
      </c>
      <c r="N308" s="170" t="n">
        <f aca="false">IF(AND(N$26&lt;=$G$224,$G308=Model_Start_Date),1,IF(AND(N$25&lt;=$G$224,N$26&lt;=$I$224,$G308=Model_Start_Date),1,IF(AND(N$25&lt;=$G$224,N$26&gt;=$G$224,$G308=Model_Start_Date),($I$224-N$25+1)/(N$26-N$25+1),IF(AND($G308&gt;=N$25,$I308&lt;=N$26),($I308-$G308+1)/(N$26-N$25+1),IF(AND($G308&lt;=N$25,$I308&gt;=N$26),1,IF(AND($G308&lt;=N$25,$I308&gt;=N$25),($I308-N$25+1)/(N$26-N$25+1),IF(AND($G308&lt;=N$26,$I308&gt;=N$26),(N$26-$G308+1)/(N$26-N$25+1),0)))))))</f>
        <v>0</v>
      </c>
      <c r="O308" s="170" t="n">
        <f aca="false">IF(AND(O$26&lt;=$G$224,$G308=Model_Start_Date),1,IF(AND(O$25&lt;=$G$224,O$26&lt;=$I$224,$G308=Model_Start_Date),1,IF(AND(O$25&lt;=$G$224,O$26&gt;=$G$224,$G308=Model_Start_Date),($I$224-O$25+1)/(O$26-O$25+1),IF(AND($G308&gt;=O$25,$I308&lt;=O$26),($I308-$G308+1)/(O$26-O$25+1),IF(AND($G308&lt;=O$25,$I308&gt;=O$26),1,IF(AND($G308&lt;=O$25,$I308&gt;=O$25),($I308-O$25+1)/(O$26-O$25+1),IF(AND($G308&lt;=O$26,$I308&gt;=O$26),(O$26-$G308+1)/(O$26-O$25+1),0)))))))</f>
        <v>0</v>
      </c>
      <c r="P308" s="170" t="n">
        <f aca="false">IF(AND(P$26&lt;=$G$224,$G308=Model_Start_Date),1,IF(AND(P$25&lt;=$G$224,P$26&lt;=$I$224,$G308=Model_Start_Date),1,IF(AND(P$25&lt;=$G$224,P$26&gt;=$G$224,$G308=Model_Start_Date),($I$224-P$25+1)/(P$26-P$25+1),IF(AND($G308&gt;=P$25,$I308&lt;=P$26),($I308-$G308+1)/(P$26-P$25+1),IF(AND($G308&lt;=P$25,$I308&gt;=P$26),1,IF(AND($G308&lt;=P$25,$I308&gt;=P$25),($I308-P$25+1)/(P$26-P$25+1),IF(AND($G308&lt;=P$26,$I308&gt;=P$26),(P$26-$G308+1)/(P$26-P$25+1),0)))))))</f>
        <v>0</v>
      </c>
    </row>
    <row r="309" customFormat="false" ht="13.8" hidden="false" customHeight="false" outlineLevel="0" collapsed="false">
      <c r="B309" s="1"/>
      <c r="D309" s="1"/>
      <c r="F309" s="5" t="e">
        <f aca="false">MATCH(G309,#REF!)</f>
        <v>#VALUE!</v>
      </c>
      <c r="G309" s="169" t="n">
        <f aca="false">IF(I308=0,Model_Start_Date,I308+1)</f>
        <v>48245</v>
      </c>
      <c r="H309" s="1"/>
      <c r="I309" s="169" t="n">
        <f aca="false">EOMONTH(G309,0)</f>
        <v>48273</v>
      </c>
      <c r="K309" s="15" t="s">
        <v>687</v>
      </c>
      <c r="L309" s="12"/>
      <c r="M309" s="170" t="n">
        <f aca="false">IF(AND(M$26&lt;=$G$224,$G309=Model_Start_Date),1,IF(AND(M$25&lt;=$G$224,M$26&lt;=$I$224,$G309=Model_Start_Date),1,IF(AND(M$25&lt;=$G$224,M$26&gt;=$G$224,$G309=Model_Start_Date),($I$224-M$25+1)/(M$26-M$25+1),IF(AND($G309&gt;=M$25,$I309&lt;=M$26),($I309-$G309+1)/(M$26-M$25+1),IF(AND($G309&lt;=M$25,$I309&gt;=M$26),1,IF(AND($G309&lt;=M$25,$I309&gt;=M$25),($I309-M$25+1)/(M$26-M$25+1),IF(AND($G309&lt;=M$26,$I309&gt;=M$26),(M$26-$G309+1)/(M$26-M$25+1),0)))))))</f>
        <v>0</v>
      </c>
      <c r="N309" s="170" t="n">
        <f aca="false">IF(AND(N$26&lt;=$G$224,$G309=Model_Start_Date),1,IF(AND(N$25&lt;=$G$224,N$26&lt;=$I$224,$G309=Model_Start_Date),1,IF(AND(N$25&lt;=$G$224,N$26&gt;=$G$224,$G309=Model_Start_Date),($I$224-N$25+1)/(N$26-N$25+1),IF(AND($G309&gt;=N$25,$I309&lt;=N$26),($I309-$G309+1)/(N$26-N$25+1),IF(AND($G309&lt;=N$25,$I309&gt;=N$26),1,IF(AND($G309&lt;=N$25,$I309&gt;=N$25),($I309-N$25+1)/(N$26-N$25+1),IF(AND($G309&lt;=N$26,$I309&gt;=N$26),(N$26-$G309+1)/(N$26-N$25+1),0)))))))</f>
        <v>0</v>
      </c>
      <c r="O309" s="170" t="n">
        <f aca="false">IF(AND(O$26&lt;=$G$224,$G309=Model_Start_Date),1,IF(AND(O$25&lt;=$G$224,O$26&lt;=$I$224,$G309=Model_Start_Date),1,IF(AND(O$25&lt;=$G$224,O$26&gt;=$G$224,$G309=Model_Start_Date),($I$224-O$25+1)/(O$26-O$25+1),IF(AND($G309&gt;=O$25,$I309&lt;=O$26),($I309-$G309+1)/(O$26-O$25+1),IF(AND($G309&lt;=O$25,$I309&gt;=O$26),1,IF(AND($G309&lt;=O$25,$I309&gt;=O$25),($I309-O$25+1)/(O$26-O$25+1),IF(AND($G309&lt;=O$26,$I309&gt;=O$26),(O$26-$G309+1)/(O$26-O$25+1),0)))))))</f>
        <v>0</v>
      </c>
      <c r="P309" s="170" t="n">
        <f aca="false">IF(AND(P$26&lt;=$G$224,$G309=Model_Start_Date),1,IF(AND(P$25&lt;=$G$224,P$26&lt;=$I$224,$G309=Model_Start_Date),1,IF(AND(P$25&lt;=$G$224,P$26&gt;=$G$224,$G309=Model_Start_Date),($I$224-P$25+1)/(P$26-P$25+1),IF(AND($G309&gt;=P$25,$I309&lt;=P$26),($I309-$G309+1)/(P$26-P$25+1),IF(AND($G309&lt;=P$25,$I309&gt;=P$26),1,IF(AND($G309&lt;=P$25,$I309&gt;=P$25),($I309-P$25+1)/(P$26-P$25+1),IF(AND($G309&lt;=P$26,$I309&gt;=P$26),(P$26-$G309+1)/(P$26-P$25+1),0)))))))</f>
        <v>0</v>
      </c>
    </row>
    <row r="310" customFormat="false" ht="13.8" hidden="false" customHeight="false" outlineLevel="0" collapsed="false">
      <c r="B310" s="1"/>
      <c r="D310" s="1"/>
      <c r="F310" s="5" t="e">
        <f aca="false">MATCH(G310,#REF!)</f>
        <v>#VALUE!</v>
      </c>
      <c r="G310" s="169" t="n">
        <f aca="false">IF(I309=0,Model_Start_Date,I309+1)</f>
        <v>48274</v>
      </c>
      <c r="H310" s="1"/>
      <c r="I310" s="169" t="n">
        <f aca="false">EOMONTH(G310,0)</f>
        <v>48304</v>
      </c>
      <c r="K310" s="15" t="s">
        <v>687</v>
      </c>
      <c r="L310" s="12"/>
      <c r="M310" s="170" t="n">
        <f aca="false">IF(AND(M$26&lt;=$G$224,$G310=Model_Start_Date),1,IF(AND(M$25&lt;=$G$224,M$26&lt;=$I$224,$G310=Model_Start_Date),1,IF(AND(M$25&lt;=$G$224,M$26&gt;=$G$224,$G310=Model_Start_Date),($I$224-M$25+1)/(M$26-M$25+1),IF(AND($G310&gt;=M$25,$I310&lt;=M$26),($I310-$G310+1)/(M$26-M$25+1),IF(AND($G310&lt;=M$25,$I310&gt;=M$26),1,IF(AND($G310&lt;=M$25,$I310&gt;=M$25),($I310-M$25+1)/(M$26-M$25+1),IF(AND($G310&lt;=M$26,$I310&gt;=M$26),(M$26-$G310+1)/(M$26-M$25+1),0)))))))</f>
        <v>0</v>
      </c>
      <c r="N310" s="170" t="n">
        <f aca="false">IF(AND(N$26&lt;=$G$224,$G310=Model_Start_Date),1,IF(AND(N$25&lt;=$G$224,N$26&lt;=$I$224,$G310=Model_Start_Date),1,IF(AND(N$25&lt;=$G$224,N$26&gt;=$G$224,$G310=Model_Start_Date),($I$224-N$25+1)/(N$26-N$25+1),IF(AND($G310&gt;=N$25,$I310&lt;=N$26),($I310-$G310+1)/(N$26-N$25+1),IF(AND($G310&lt;=N$25,$I310&gt;=N$26),1,IF(AND($G310&lt;=N$25,$I310&gt;=N$25),($I310-N$25+1)/(N$26-N$25+1),IF(AND($G310&lt;=N$26,$I310&gt;=N$26),(N$26-$G310+1)/(N$26-N$25+1),0)))))))</f>
        <v>0</v>
      </c>
      <c r="O310" s="170" t="n">
        <f aca="false">IF(AND(O$26&lt;=$G$224,$G310=Model_Start_Date),1,IF(AND(O$25&lt;=$G$224,O$26&lt;=$I$224,$G310=Model_Start_Date),1,IF(AND(O$25&lt;=$G$224,O$26&gt;=$G$224,$G310=Model_Start_Date),($I$224-O$25+1)/(O$26-O$25+1),IF(AND($G310&gt;=O$25,$I310&lt;=O$26),($I310-$G310+1)/(O$26-O$25+1),IF(AND($G310&lt;=O$25,$I310&gt;=O$26),1,IF(AND($G310&lt;=O$25,$I310&gt;=O$25),($I310-O$25+1)/(O$26-O$25+1),IF(AND($G310&lt;=O$26,$I310&gt;=O$26),(O$26-$G310+1)/(O$26-O$25+1),0)))))))</f>
        <v>0</v>
      </c>
      <c r="P310" s="170" t="n">
        <f aca="false">IF(AND(P$26&lt;=$G$224,$G310=Model_Start_Date),1,IF(AND(P$25&lt;=$G$224,P$26&lt;=$I$224,$G310=Model_Start_Date),1,IF(AND(P$25&lt;=$G$224,P$26&gt;=$G$224,$G310=Model_Start_Date),($I$224-P$25+1)/(P$26-P$25+1),IF(AND($G310&gt;=P$25,$I310&lt;=P$26),($I310-$G310+1)/(P$26-P$25+1),IF(AND($G310&lt;=P$25,$I310&gt;=P$26),1,IF(AND($G310&lt;=P$25,$I310&gt;=P$25),($I310-P$25+1)/(P$26-P$25+1),IF(AND($G310&lt;=P$26,$I310&gt;=P$26),(P$26-$G310+1)/(P$26-P$25+1),0)))))))</f>
        <v>0</v>
      </c>
    </row>
    <row r="311" customFormat="false" ht="13.8" hidden="false" customHeight="false" outlineLevel="0" collapsed="false">
      <c r="B311" s="1"/>
      <c r="D311" s="1"/>
      <c r="F311" s="5" t="e">
        <f aca="false">MATCH(G311,#REF!)</f>
        <v>#VALUE!</v>
      </c>
      <c r="G311" s="169" t="n">
        <f aca="false">IF(I310=0,Model_Start_Date,I310+1)</f>
        <v>48305</v>
      </c>
      <c r="H311" s="1"/>
      <c r="I311" s="169" t="n">
        <f aca="false">EOMONTH(G311,0)</f>
        <v>48334</v>
      </c>
      <c r="K311" s="15" t="s">
        <v>687</v>
      </c>
      <c r="L311" s="12"/>
      <c r="M311" s="170" t="n">
        <f aca="false">IF(AND(M$26&lt;=$G$224,$G311=Model_Start_Date),1,IF(AND(M$25&lt;=$G$224,M$26&lt;=$I$224,$G311=Model_Start_Date),1,IF(AND(M$25&lt;=$G$224,M$26&gt;=$G$224,$G311=Model_Start_Date),($I$224-M$25+1)/(M$26-M$25+1),IF(AND($G311&gt;=M$25,$I311&lt;=M$26),($I311-$G311+1)/(M$26-M$25+1),IF(AND($G311&lt;=M$25,$I311&gt;=M$26),1,IF(AND($G311&lt;=M$25,$I311&gt;=M$25),($I311-M$25+1)/(M$26-M$25+1),IF(AND($G311&lt;=M$26,$I311&gt;=M$26),(M$26-$G311+1)/(M$26-M$25+1),0)))))))</f>
        <v>0</v>
      </c>
      <c r="N311" s="170" t="n">
        <f aca="false">IF(AND(N$26&lt;=$G$224,$G311=Model_Start_Date),1,IF(AND(N$25&lt;=$G$224,N$26&lt;=$I$224,$G311=Model_Start_Date),1,IF(AND(N$25&lt;=$G$224,N$26&gt;=$G$224,$G311=Model_Start_Date),($I$224-N$25+1)/(N$26-N$25+1),IF(AND($G311&gt;=N$25,$I311&lt;=N$26),($I311-$G311+1)/(N$26-N$25+1),IF(AND($G311&lt;=N$25,$I311&gt;=N$26),1,IF(AND($G311&lt;=N$25,$I311&gt;=N$25),($I311-N$25+1)/(N$26-N$25+1),IF(AND($G311&lt;=N$26,$I311&gt;=N$26),(N$26-$G311+1)/(N$26-N$25+1),0)))))))</f>
        <v>0</v>
      </c>
      <c r="O311" s="170" t="n">
        <f aca="false">IF(AND(O$26&lt;=$G$224,$G311=Model_Start_Date),1,IF(AND(O$25&lt;=$G$224,O$26&lt;=$I$224,$G311=Model_Start_Date),1,IF(AND(O$25&lt;=$G$224,O$26&gt;=$G$224,$G311=Model_Start_Date),($I$224-O$25+1)/(O$26-O$25+1),IF(AND($G311&gt;=O$25,$I311&lt;=O$26),($I311-$G311+1)/(O$26-O$25+1),IF(AND($G311&lt;=O$25,$I311&gt;=O$26),1,IF(AND($G311&lt;=O$25,$I311&gt;=O$25),($I311-O$25+1)/(O$26-O$25+1),IF(AND($G311&lt;=O$26,$I311&gt;=O$26),(O$26-$G311+1)/(O$26-O$25+1),0)))))))</f>
        <v>0</v>
      </c>
      <c r="P311" s="170" t="n">
        <f aca="false">IF(AND(P$26&lt;=$G$224,$G311=Model_Start_Date),1,IF(AND(P$25&lt;=$G$224,P$26&lt;=$I$224,$G311=Model_Start_Date),1,IF(AND(P$25&lt;=$G$224,P$26&gt;=$G$224,$G311=Model_Start_Date),($I$224-P$25+1)/(P$26-P$25+1),IF(AND($G311&gt;=P$25,$I311&lt;=P$26),($I311-$G311+1)/(P$26-P$25+1),IF(AND($G311&lt;=P$25,$I311&gt;=P$26),1,IF(AND($G311&lt;=P$25,$I311&gt;=P$25),($I311-P$25+1)/(P$26-P$25+1),IF(AND($G311&lt;=P$26,$I311&gt;=P$26),(P$26-$G311+1)/(P$26-P$25+1),0)))))))</f>
        <v>0</v>
      </c>
    </row>
    <row r="312" customFormat="false" ht="13.8" hidden="false" customHeight="false" outlineLevel="0" collapsed="false">
      <c r="B312" s="1"/>
      <c r="D312" s="1"/>
      <c r="F312" s="5" t="e">
        <f aca="false">MATCH(G312,#REF!)</f>
        <v>#VALUE!</v>
      </c>
      <c r="G312" s="169" t="n">
        <f aca="false">IF(I311=0,Model_Start_Date,I311+1)</f>
        <v>48335</v>
      </c>
      <c r="H312" s="1"/>
      <c r="I312" s="169" t="n">
        <f aca="false">EOMONTH(G312,0)</f>
        <v>48365</v>
      </c>
      <c r="K312" s="15" t="s">
        <v>687</v>
      </c>
      <c r="L312" s="12"/>
      <c r="M312" s="170" t="n">
        <f aca="false">IF(AND(M$26&lt;=$G$224,$G312=Model_Start_Date),1,IF(AND(M$25&lt;=$G$224,M$26&lt;=$I$224,$G312=Model_Start_Date),1,IF(AND(M$25&lt;=$G$224,M$26&gt;=$G$224,$G312=Model_Start_Date),($I$224-M$25+1)/(M$26-M$25+1),IF(AND($G312&gt;=M$25,$I312&lt;=M$26),($I312-$G312+1)/(M$26-M$25+1),IF(AND($G312&lt;=M$25,$I312&gt;=M$26),1,IF(AND($G312&lt;=M$25,$I312&gt;=M$25),($I312-M$25+1)/(M$26-M$25+1),IF(AND($G312&lt;=M$26,$I312&gt;=M$26),(M$26-$G312+1)/(M$26-M$25+1),0)))))))</f>
        <v>0</v>
      </c>
      <c r="N312" s="170" t="n">
        <f aca="false">IF(AND(N$26&lt;=$G$224,$G312=Model_Start_Date),1,IF(AND(N$25&lt;=$G$224,N$26&lt;=$I$224,$G312=Model_Start_Date),1,IF(AND(N$25&lt;=$G$224,N$26&gt;=$G$224,$G312=Model_Start_Date),($I$224-N$25+1)/(N$26-N$25+1),IF(AND($G312&gt;=N$25,$I312&lt;=N$26),($I312-$G312+1)/(N$26-N$25+1),IF(AND($G312&lt;=N$25,$I312&gt;=N$26),1,IF(AND($G312&lt;=N$25,$I312&gt;=N$25),($I312-N$25+1)/(N$26-N$25+1),IF(AND($G312&lt;=N$26,$I312&gt;=N$26),(N$26-$G312+1)/(N$26-N$25+1),0)))))))</f>
        <v>0</v>
      </c>
      <c r="O312" s="170" t="n">
        <f aca="false">IF(AND(O$26&lt;=$G$224,$G312=Model_Start_Date),1,IF(AND(O$25&lt;=$G$224,O$26&lt;=$I$224,$G312=Model_Start_Date),1,IF(AND(O$25&lt;=$G$224,O$26&gt;=$G$224,$G312=Model_Start_Date),($I$224-O$25+1)/(O$26-O$25+1),IF(AND($G312&gt;=O$25,$I312&lt;=O$26),($I312-$G312+1)/(O$26-O$25+1),IF(AND($G312&lt;=O$25,$I312&gt;=O$26),1,IF(AND($G312&lt;=O$25,$I312&gt;=O$25),($I312-O$25+1)/(O$26-O$25+1),IF(AND($G312&lt;=O$26,$I312&gt;=O$26),(O$26-$G312+1)/(O$26-O$25+1),0)))))))</f>
        <v>0</v>
      </c>
      <c r="P312" s="170" t="n">
        <f aca="false">IF(AND(P$26&lt;=$G$224,$G312=Model_Start_Date),1,IF(AND(P$25&lt;=$G$224,P$26&lt;=$I$224,$G312=Model_Start_Date),1,IF(AND(P$25&lt;=$G$224,P$26&gt;=$G$224,$G312=Model_Start_Date),($I$224-P$25+1)/(P$26-P$25+1),IF(AND($G312&gt;=P$25,$I312&lt;=P$26),($I312-$G312+1)/(P$26-P$25+1),IF(AND($G312&lt;=P$25,$I312&gt;=P$26),1,IF(AND($G312&lt;=P$25,$I312&gt;=P$25),($I312-P$25+1)/(P$26-P$25+1),IF(AND($G312&lt;=P$26,$I312&gt;=P$26),(P$26-$G312+1)/(P$26-P$25+1),0)))))))</f>
        <v>0</v>
      </c>
    </row>
    <row r="313" customFormat="false" ht="13.8" hidden="false" customHeight="false" outlineLevel="0" collapsed="false">
      <c r="B313" s="1"/>
      <c r="D313" s="1"/>
      <c r="F313" s="5" t="e">
        <f aca="false">MATCH(G313,#REF!)</f>
        <v>#VALUE!</v>
      </c>
      <c r="G313" s="169" t="n">
        <f aca="false">IF(I312=0,Model_Start_Date,I312+1)</f>
        <v>48366</v>
      </c>
      <c r="H313" s="1"/>
      <c r="I313" s="169" t="n">
        <f aca="false">EOMONTH(G313,0)</f>
        <v>48395</v>
      </c>
      <c r="K313" s="15" t="s">
        <v>687</v>
      </c>
      <c r="L313" s="12"/>
      <c r="M313" s="170" t="n">
        <f aca="false">IF(AND(M$26&lt;=$G$224,$G313=Model_Start_Date),1,IF(AND(M$25&lt;=$G$224,M$26&lt;=$I$224,$G313=Model_Start_Date),1,IF(AND(M$25&lt;=$G$224,M$26&gt;=$G$224,$G313=Model_Start_Date),($I$224-M$25+1)/(M$26-M$25+1),IF(AND($G313&gt;=M$25,$I313&lt;=M$26),($I313-$G313+1)/(M$26-M$25+1),IF(AND($G313&lt;=M$25,$I313&gt;=M$26),1,IF(AND($G313&lt;=M$25,$I313&gt;=M$25),($I313-M$25+1)/(M$26-M$25+1),IF(AND($G313&lt;=M$26,$I313&gt;=M$26),(M$26-$G313+1)/(M$26-M$25+1),0)))))))</f>
        <v>0</v>
      </c>
      <c r="N313" s="170" t="n">
        <f aca="false">IF(AND(N$26&lt;=$G$224,$G313=Model_Start_Date),1,IF(AND(N$25&lt;=$G$224,N$26&lt;=$I$224,$G313=Model_Start_Date),1,IF(AND(N$25&lt;=$G$224,N$26&gt;=$G$224,$G313=Model_Start_Date),($I$224-N$25+1)/(N$26-N$25+1),IF(AND($G313&gt;=N$25,$I313&lt;=N$26),($I313-$G313+1)/(N$26-N$25+1),IF(AND($G313&lt;=N$25,$I313&gt;=N$26),1,IF(AND($G313&lt;=N$25,$I313&gt;=N$25),($I313-N$25+1)/(N$26-N$25+1),IF(AND($G313&lt;=N$26,$I313&gt;=N$26),(N$26-$G313+1)/(N$26-N$25+1),0)))))))</f>
        <v>0</v>
      </c>
      <c r="O313" s="170" t="n">
        <f aca="false">IF(AND(O$26&lt;=$G$224,$G313=Model_Start_Date),1,IF(AND(O$25&lt;=$G$224,O$26&lt;=$I$224,$G313=Model_Start_Date),1,IF(AND(O$25&lt;=$G$224,O$26&gt;=$G$224,$G313=Model_Start_Date),($I$224-O$25+1)/(O$26-O$25+1),IF(AND($G313&gt;=O$25,$I313&lt;=O$26),($I313-$G313+1)/(O$26-O$25+1),IF(AND($G313&lt;=O$25,$I313&gt;=O$26),1,IF(AND($G313&lt;=O$25,$I313&gt;=O$25),($I313-O$25+1)/(O$26-O$25+1),IF(AND($G313&lt;=O$26,$I313&gt;=O$26),(O$26-$G313+1)/(O$26-O$25+1),0)))))))</f>
        <v>0</v>
      </c>
      <c r="P313" s="170" t="n">
        <f aca="false">IF(AND(P$26&lt;=$G$224,$G313=Model_Start_Date),1,IF(AND(P$25&lt;=$G$224,P$26&lt;=$I$224,$G313=Model_Start_Date),1,IF(AND(P$25&lt;=$G$224,P$26&gt;=$G$224,$G313=Model_Start_Date),($I$224-P$25+1)/(P$26-P$25+1),IF(AND($G313&gt;=P$25,$I313&lt;=P$26),($I313-$G313+1)/(P$26-P$25+1),IF(AND($G313&lt;=P$25,$I313&gt;=P$26),1,IF(AND($G313&lt;=P$25,$I313&gt;=P$25),($I313-P$25+1)/(P$26-P$25+1),IF(AND($G313&lt;=P$26,$I313&gt;=P$26),(P$26-$G313+1)/(P$26-P$25+1),0)))))))</f>
        <v>0</v>
      </c>
    </row>
    <row r="314" customFormat="false" ht="13.8" hidden="false" customHeight="false" outlineLevel="0" collapsed="false">
      <c r="B314" s="1"/>
      <c r="D314" s="1"/>
      <c r="F314" s="5" t="e">
        <f aca="false">MATCH(G314,#REF!)</f>
        <v>#VALUE!</v>
      </c>
      <c r="G314" s="169" t="n">
        <f aca="false">IF(I313=0,Model_Start_Date,I313+1)</f>
        <v>48396</v>
      </c>
      <c r="H314" s="1"/>
      <c r="I314" s="169" t="n">
        <f aca="false">EOMONTH(G314,0)</f>
        <v>48426</v>
      </c>
      <c r="K314" s="15" t="s">
        <v>687</v>
      </c>
      <c r="L314" s="12"/>
      <c r="M314" s="170" t="n">
        <f aca="false">IF(AND(M$26&lt;=$G$224,$G314=Model_Start_Date),1,IF(AND(M$25&lt;=$G$224,M$26&lt;=$I$224,$G314=Model_Start_Date),1,IF(AND(M$25&lt;=$G$224,M$26&gt;=$G$224,$G314=Model_Start_Date),($I$224-M$25+1)/(M$26-M$25+1),IF(AND($G314&gt;=M$25,$I314&lt;=M$26),($I314-$G314+1)/(M$26-M$25+1),IF(AND($G314&lt;=M$25,$I314&gt;=M$26),1,IF(AND($G314&lt;=M$25,$I314&gt;=M$25),($I314-M$25+1)/(M$26-M$25+1),IF(AND($G314&lt;=M$26,$I314&gt;=M$26),(M$26-$G314+1)/(M$26-M$25+1),0)))))))</f>
        <v>0</v>
      </c>
      <c r="N314" s="170" t="n">
        <f aca="false">IF(AND(N$26&lt;=$G$224,$G314=Model_Start_Date),1,IF(AND(N$25&lt;=$G$224,N$26&lt;=$I$224,$G314=Model_Start_Date),1,IF(AND(N$25&lt;=$G$224,N$26&gt;=$G$224,$G314=Model_Start_Date),($I$224-N$25+1)/(N$26-N$25+1),IF(AND($G314&gt;=N$25,$I314&lt;=N$26),($I314-$G314+1)/(N$26-N$25+1),IF(AND($G314&lt;=N$25,$I314&gt;=N$26),1,IF(AND($G314&lt;=N$25,$I314&gt;=N$25),($I314-N$25+1)/(N$26-N$25+1),IF(AND($G314&lt;=N$26,$I314&gt;=N$26),(N$26-$G314+1)/(N$26-N$25+1),0)))))))</f>
        <v>0</v>
      </c>
      <c r="O314" s="170" t="n">
        <f aca="false">IF(AND(O$26&lt;=$G$224,$G314=Model_Start_Date),1,IF(AND(O$25&lt;=$G$224,O$26&lt;=$I$224,$G314=Model_Start_Date),1,IF(AND(O$25&lt;=$G$224,O$26&gt;=$G$224,$G314=Model_Start_Date),($I$224-O$25+1)/(O$26-O$25+1),IF(AND($G314&gt;=O$25,$I314&lt;=O$26),($I314-$G314+1)/(O$26-O$25+1),IF(AND($G314&lt;=O$25,$I314&gt;=O$26),1,IF(AND($G314&lt;=O$25,$I314&gt;=O$25),($I314-O$25+1)/(O$26-O$25+1),IF(AND($G314&lt;=O$26,$I314&gt;=O$26),(O$26-$G314+1)/(O$26-O$25+1),0)))))))</f>
        <v>0</v>
      </c>
      <c r="P314" s="170" t="n">
        <f aca="false">IF(AND(P$26&lt;=$G$224,$G314=Model_Start_Date),1,IF(AND(P$25&lt;=$G$224,P$26&lt;=$I$224,$G314=Model_Start_Date),1,IF(AND(P$25&lt;=$G$224,P$26&gt;=$G$224,$G314=Model_Start_Date),($I$224-P$25+1)/(P$26-P$25+1),IF(AND($G314&gt;=P$25,$I314&lt;=P$26),($I314-$G314+1)/(P$26-P$25+1),IF(AND($G314&lt;=P$25,$I314&gt;=P$26),1,IF(AND($G314&lt;=P$25,$I314&gt;=P$25),($I314-P$25+1)/(P$26-P$25+1),IF(AND($G314&lt;=P$26,$I314&gt;=P$26),(P$26-$G314+1)/(P$26-P$25+1),0)))))))</f>
        <v>0</v>
      </c>
    </row>
    <row r="315" customFormat="false" ht="13.8" hidden="false" customHeight="false" outlineLevel="0" collapsed="false">
      <c r="B315" s="1"/>
      <c r="D315" s="1"/>
      <c r="F315" s="5" t="e">
        <f aca="false">MATCH(G315,#REF!)</f>
        <v>#VALUE!</v>
      </c>
      <c r="G315" s="169" t="n">
        <f aca="false">IF(I314=0,Model_Start_Date,I314+1)</f>
        <v>48427</v>
      </c>
      <c r="H315" s="1"/>
      <c r="I315" s="169" t="n">
        <f aca="false">EOMONTH(G315,0)</f>
        <v>48457</v>
      </c>
      <c r="K315" s="15" t="s">
        <v>687</v>
      </c>
      <c r="L315" s="12"/>
      <c r="M315" s="170" t="n">
        <f aca="false">IF(AND(M$26&lt;=$G$224,$G315=Model_Start_Date),1,IF(AND(M$25&lt;=$G$224,M$26&lt;=$I$224,$G315=Model_Start_Date),1,IF(AND(M$25&lt;=$G$224,M$26&gt;=$G$224,$G315=Model_Start_Date),($I$224-M$25+1)/(M$26-M$25+1),IF(AND($G315&gt;=M$25,$I315&lt;=M$26),($I315-$G315+1)/(M$26-M$25+1),IF(AND($G315&lt;=M$25,$I315&gt;=M$26),1,IF(AND($G315&lt;=M$25,$I315&gt;=M$25),($I315-M$25+1)/(M$26-M$25+1),IF(AND($G315&lt;=M$26,$I315&gt;=M$26),(M$26-$G315+1)/(M$26-M$25+1),0)))))))</f>
        <v>0</v>
      </c>
      <c r="N315" s="170" t="n">
        <f aca="false">IF(AND(N$26&lt;=$G$224,$G315=Model_Start_Date),1,IF(AND(N$25&lt;=$G$224,N$26&lt;=$I$224,$G315=Model_Start_Date),1,IF(AND(N$25&lt;=$G$224,N$26&gt;=$G$224,$G315=Model_Start_Date),($I$224-N$25+1)/(N$26-N$25+1),IF(AND($G315&gt;=N$25,$I315&lt;=N$26),($I315-$G315+1)/(N$26-N$25+1),IF(AND($G315&lt;=N$25,$I315&gt;=N$26),1,IF(AND($G315&lt;=N$25,$I315&gt;=N$25),($I315-N$25+1)/(N$26-N$25+1),IF(AND($G315&lt;=N$26,$I315&gt;=N$26),(N$26-$G315+1)/(N$26-N$25+1),0)))))))</f>
        <v>0</v>
      </c>
      <c r="O315" s="170" t="n">
        <f aca="false">IF(AND(O$26&lt;=$G$224,$G315=Model_Start_Date),1,IF(AND(O$25&lt;=$G$224,O$26&lt;=$I$224,$G315=Model_Start_Date),1,IF(AND(O$25&lt;=$G$224,O$26&gt;=$G$224,$G315=Model_Start_Date),($I$224-O$25+1)/(O$26-O$25+1),IF(AND($G315&gt;=O$25,$I315&lt;=O$26),($I315-$G315+1)/(O$26-O$25+1),IF(AND($G315&lt;=O$25,$I315&gt;=O$26),1,IF(AND($G315&lt;=O$25,$I315&gt;=O$25),($I315-O$25+1)/(O$26-O$25+1),IF(AND($G315&lt;=O$26,$I315&gt;=O$26),(O$26-$G315+1)/(O$26-O$25+1),0)))))))</f>
        <v>0</v>
      </c>
      <c r="P315" s="170" t="n">
        <f aca="false">IF(AND(P$26&lt;=$G$224,$G315=Model_Start_Date),1,IF(AND(P$25&lt;=$G$224,P$26&lt;=$I$224,$G315=Model_Start_Date),1,IF(AND(P$25&lt;=$G$224,P$26&gt;=$G$224,$G315=Model_Start_Date),($I$224-P$25+1)/(P$26-P$25+1),IF(AND($G315&gt;=P$25,$I315&lt;=P$26),($I315-$G315+1)/(P$26-P$25+1),IF(AND($G315&lt;=P$25,$I315&gt;=P$26),1,IF(AND($G315&lt;=P$25,$I315&gt;=P$25),($I315-P$25+1)/(P$26-P$25+1),IF(AND($G315&lt;=P$26,$I315&gt;=P$26),(P$26-$G315+1)/(P$26-P$25+1),0)))))))</f>
        <v>0</v>
      </c>
    </row>
    <row r="316" customFormat="false" ht="13.8" hidden="false" customHeight="false" outlineLevel="0" collapsed="false">
      <c r="B316" s="1"/>
      <c r="D316" s="1"/>
      <c r="F316" s="5" t="e">
        <f aca="false">MATCH(G316,#REF!)</f>
        <v>#VALUE!</v>
      </c>
      <c r="G316" s="169" t="n">
        <f aca="false">IF(I315=0,Model_Start_Date,I315+1)</f>
        <v>48458</v>
      </c>
      <c r="H316" s="1"/>
      <c r="I316" s="169" t="n">
        <f aca="false">EOMONTH(G316,0)</f>
        <v>48487</v>
      </c>
      <c r="K316" s="15" t="s">
        <v>687</v>
      </c>
      <c r="L316" s="12"/>
      <c r="M316" s="170" t="n">
        <f aca="false">IF(AND(M$26&lt;=$G$224,$G316=Model_Start_Date),1,IF(AND(M$25&lt;=$G$224,M$26&lt;=$I$224,$G316=Model_Start_Date),1,IF(AND(M$25&lt;=$G$224,M$26&gt;=$G$224,$G316=Model_Start_Date),($I$224-M$25+1)/(M$26-M$25+1),IF(AND($G316&gt;=M$25,$I316&lt;=M$26),($I316-$G316+1)/(M$26-M$25+1),IF(AND($G316&lt;=M$25,$I316&gt;=M$26),1,IF(AND($G316&lt;=M$25,$I316&gt;=M$25),($I316-M$25+1)/(M$26-M$25+1),IF(AND($G316&lt;=M$26,$I316&gt;=M$26),(M$26-$G316+1)/(M$26-M$25+1),0)))))))</f>
        <v>0</v>
      </c>
      <c r="N316" s="170" t="n">
        <f aca="false">IF(AND(N$26&lt;=$G$224,$G316=Model_Start_Date),1,IF(AND(N$25&lt;=$G$224,N$26&lt;=$I$224,$G316=Model_Start_Date),1,IF(AND(N$25&lt;=$G$224,N$26&gt;=$G$224,$G316=Model_Start_Date),($I$224-N$25+1)/(N$26-N$25+1),IF(AND($G316&gt;=N$25,$I316&lt;=N$26),($I316-$G316+1)/(N$26-N$25+1),IF(AND($G316&lt;=N$25,$I316&gt;=N$26),1,IF(AND($G316&lt;=N$25,$I316&gt;=N$25),($I316-N$25+1)/(N$26-N$25+1),IF(AND($G316&lt;=N$26,$I316&gt;=N$26),(N$26-$G316+1)/(N$26-N$25+1),0)))))))</f>
        <v>0</v>
      </c>
      <c r="O316" s="170" t="n">
        <f aca="false">IF(AND(O$26&lt;=$G$224,$G316=Model_Start_Date),1,IF(AND(O$25&lt;=$G$224,O$26&lt;=$I$224,$G316=Model_Start_Date),1,IF(AND(O$25&lt;=$G$224,O$26&gt;=$G$224,$G316=Model_Start_Date),($I$224-O$25+1)/(O$26-O$25+1),IF(AND($G316&gt;=O$25,$I316&lt;=O$26),($I316-$G316+1)/(O$26-O$25+1),IF(AND($G316&lt;=O$25,$I316&gt;=O$26),1,IF(AND($G316&lt;=O$25,$I316&gt;=O$25),($I316-O$25+1)/(O$26-O$25+1),IF(AND($G316&lt;=O$26,$I316&gt;=O$26),(O$26-$G316+1)/(O$26-O$25+1),0)))))))</f>
        <v>0</v>
      </c>
      <c r="P316" s="170" t="n">
        <f aca="false">IF(AND(P$26&lt;=$G$224,$G316=Model_Start_Date),1,IF(AND(P$25&lt;=$G$224,P$26&lt;=$I$224,$G316=Model_Start_Date),1,IF(AND(P$25&lt;=$G$224,P$26&gt;=$G$224,$G316=Model_Start_Date),($I$224-P$25+1)/(P$26-P$25+1),IF(AND($G316&gt;=P$25,$I316&lt;=P$26),($I316-$G316+1)/(P$26-P$25+1),IF(AND($G316&lt;=P$25,$I316&gt;=P$26),1,IF(AND($G316&lt;=P$25,$I316&gt;=P$25),($I316-P$25+1)/(P$26-P$25+1),IF(AND($G316&lt;=P$26,$I316&gt;=P$26),(P$26-$G316+1)/(P$26-P$25+1),0)))))))</f>
        <v>0</v>
      </c>
    </row>
    <row r="317" customFormat="false" ht="13.8" hidden="false" customHeight="false" outlineLevel="0" collapsed="false">
      <c r="B317" s="1"/>
      <c r="D317" s="1"/>
      <c r="F317" s="5" t="e">
        <f aca="false">MATCH(G317,#REF!)</f>
        <v>#VALUE!</v>
      </c>
      <c r="G317" s="169" t="n">
        <f aca="false">IF(I316=0,Model_Start_Date,I316+1)</f>
        <v>48488</v>
      </c>
      <c r="H317" s="1"/>
      <c r="I317" s="169" t="n">
        <f aca="false">EOMONTH(G317,0)</f>
        <v>48518</v>
      </c>
      <c r="K317" s="15" t="s">
        <v>687</v>
      </c>
      <c r="L317" s="12"/>
      <c r="M317" s="170" t="n">
        <f aca="false">IF(AND(M$26&lt;=$G$224,$G317=Model_Start_Date),1,IF(AND(M$25&lt;=$G$224,M$26&lt;=$I$224,$G317=Model_Start_Date),1,IF(AND(M$25&lt;=$G$224,M$26&gt;=$G$224,$G317=Model_Start_Date),($I$224-M$25+1)/(M$26-M$25+1),IF(AND($G317&gt;=M$25,$I317&lt;=M$26),($I317-$G317+1)/(M$26-M$25+1),IF(AND($G317&lt;=M$25,$I317&gt;=M$26),1,IF(AND($G317&lt;=M$25,$I317&gt;=M$25),($I317-M$25+1)/(M$26-M$25+1),IF(AND($G317&lt;=M$26,$I317&gt;=M$26),(M$26-$G317+1)/(M$26-M$25+1),0)))))))</f>
        <v>0</v>
      </c>
      <c r="N317" s="170" t="n">
        <f aca="false">IF(AND(N$26&lt;=$G$224,$G317=Model_Start_Date),1,IF(AND(N$25&lt;=$G$224,N$26&lt;=$I$224,$G317=Model_Start_Date),1,IF(AND(N$25&lt;=$G$224,N$26&gt;=$G$224,$G317=Model_Start_Date),($I$224-N$25+1)/(N$26-N$25+1),IF(AND($G317&gt;=N$25,$I317&lt;=N$26),($I317-$G317+1)/(N$26-N$25+1),IF(AND($G317&lt;=N$25,$I317&gt;=N$26),1,IF(AND($G317&lt;=N$25,$I317&gt;=N$25),($I317-N$25+1)/(N$26-N$25+1),IF(AND($G317&lt;=N$26,$I317&gt;=N$26),(N$26-$G317+1)/(N$26-N$25+1),0)))))))</f>
        <v>0</v>
      </c>
      <c r="O317" s="170" t="n">
        <f aca="false">IF(AND(O$26&lt;=$G$224,$G317=Model_Start_Date),1,IF(AND(O$25&lt;=$G$224,O$26&lt;=$I$224,$G317=Model_Start_Date),1,IF(AND(O$25&lt;=$G$224,O$26&gt;=$G$224,$G317=Model_Start_Date),($I$224-O$25+1)/(O$26-O$25+1),IF(AND($G317&gt;=O$25,$I317&lt;=O$26),($I317-$G317+1)/(O$26-O$25+1),IF(AND($G317&lt;=O$25,$I317&gt;=O$26),1,IF(AND($G317&lt;=O$25,$I317&gt;=O$25),($I317-O$25+1)/(O$26-O$25+1),IF(AND($G317&lt;=O$26,$I317&gt;=O$26),(O$26-$G317+1)/(O$26-O$25+1),0)))))))</f>
        <v>0</v>
      </c>
      <c r="P317" s="170" t="n">
        <f aca="false">IF(AND(P$26&lt;=$G$224,$G317=Model_Start_Date),1,IF(AND(P$25&lt;=$G$224,P$26&lt;=$I$224,$G317=Model_Start_Date),1,IF(AND(P$25&lt;=$G$224,P$26&gt;=$G$224,$G317=Model_Start_Date),($I$224-P$25+1)/(P$26-P$25+1),IF(AND($G317&gt;=P$25,$I317&lt;=P$26),($I317-$G317+1)/(P$26-P$25+1),IF(AND($G317&lt;=P$25,$I317&gt;=P$26),1,IF(AND($G317&lt;=P$25,$I317&gt;=P$25),($I317-P$25+1)/(P$26-P$25+1),IF(AND($G317&lt;=P$26,$I317&gt;=P$26),(P$26-$G317+1)/(P$26-P$25+1),0)))))))</f>
        <v>0</v>
      </c>
    </row>
    <row r="318" customFormat="false" ht="13.8" hidden="false" customHeight="false" outlineLevel="0" collapsed="false">
      <c r="B318" s="1"/>
      <c r="D318" s="1"/>
      <c r="F318" s="5" t="e">
        <f aca="false">MATCH(G318,#REF!)</f>
        <v>#VALUE!</v>
      </c>
      <c r="G318" s="169" t="n">
        <f aca="false">IF(I317=0,Model_Start_Date,I317+1)</f>
        <v>48519</v>
      </c>
      <c r="H318" s="1"/>
      <c r="I318" s="169" t="n">
        <f aca="false">EOMONTH(G318,0)</f>
        <v>48548</v>
      </c>
      <c r="K318" s="15" t="s">
        <v>687</v>
      </c>
      <c r="L318" s="12"/>
      <c r="M318" s="170" t="n">
        <f aca="false">IF(AND(M$26&lt;=$G$224,$G318=Model_Start_Date),1,IF(AND(M$25&lt;=$G$224,M$26&lt;=$I$224,$G318=Model_Start_Date),1,IF(AND(M$25&lt;=$G$224,M$26&gt;=$G$224,$G318=Model_Start_Date),($I$224-M$25+1)/(M$26-M$25+1),IF(AND($G318&gt;=M$25,$I318&lt;=M$26),($I318-$G318+1)/(M$26-M$25+1),IF(AND($G318&lt;=M$25,$I318&gt;=M$26),1,IF(AND($G318&lt;=M$25,$I318&gt;=M$25),($I318-M$25+1)/(M$26-M$25+1),IF(AND($G318&lt;=M$26,$I318&gt;=M$26),(M$26-$G318+1)/(M$26-M$25+1),0)))))))</f>
        <v>0</v>
      </c>
      <c r="N318" s="170" t="n">
        <f aca="false">IF(AND(N$26&lt;=$G$224,$G318=Model_Start_Date),1,IF(AND(N$25&lt;=$G$224,N$26&lt;=$I$224,$G318=Model_Start_Date),1,IF(AND(N$25&lt;=$G$224,N$26&gt;=$G$224,$G318=Model_Start_Date),($I$224-N$25+1)/(N$26-N$25+1),IF(AND($G318&gt;=N$25,$I318&lt;=N$26),($I318-$G318+1)/(N$26-N$25+1),IF(AND($G318&lt;=N$25,$I318&gt;=N$26),1,IF(AND($G318&lt;=N$25,$I318&gt;=N$25),($I318-N$25+1)/(N$26-N$25+1),IF(AND($G318&lt;=N$26,$I318&gt;=N$26),(N$26-$G318+1)/(N$26-N$25+1),0)))))))</f>
        <v>0</v>
      </c>
      <c r="O318" s="170" t="n">
        <f aca="false">IF(AND(O$26&lt;=$G$224,$G318=Model_Start_Date),1,IF(AND(O$25&lt;=$G$224,O$26&lt;=$I$224,$G318=Model_Start_Date),1,IF(AND(O$25&lt;=$G$224,O$26&gt;=$G$224,$G318=Model_Start_Date),($I$224-O$25+1)/(O$26-O$25+1),IF(AND($G318&gt;=O$25,$I318&lt;=O$26),($I318-$G318+1)/(O$26-O$25+1),IF(AND($G318&lt;=O$25,$I318&gt;=O$26),1,IF(AND($G318&lt;=O$25,$I318&gt;=O$25),($I318-O$25+1)/(O$26-O$25+1),IF(AND($G318&lt;=O$26,$I318&gt;=O$26),(O$26-$G318+1)/(O$26-O$25+1),0)))))))</f>
        <v>0</v>
      </c>
      <c r="P318" s="170" t="n">
        <f aca="false">IF(AND(P$26&lt;=$G$224,$G318=Model_Start_Date),1,IF(AND(P$25&lt;=$G$224,P$26&lt;=$I$224,$G318=Model_Start_Date),1,IF(AND(P$25&lt;=$G$224,P$26&gt;=$G$224,$G318=Model_Start_Date),($I$224-P$25+1)/(P$26-P$25+1),IF(AND($G318&gt;=P$25,$I318&lt;=P$26),($I318-$G318+1)/(P$26-P$25+1),IF(AND($G318&lt;=P$25,$I318&gt;=P$26),1,IF(AND($G318&lt;=P$25,$I318&gt;=P$25),($I318-P$25+1)/(P$26-P$25+1),IF(AND($G318&lt;=P$26,$I318&gt;=P$26),(P$26-$G318+1)/(P$26-P$25+1),0)))))))</f>
        <v>0</v>
      </c>
    </row>
    <row r="319" customFormat="false" ht="13.8" hidden="false" customHeight="false" outlineLevel="0" collapsed="false">
      <c r="B319" s="1"/>
      <c r="D319" s="1"/>
      <c r="F319" s="5" t="e">
        <f aca="false">MATCH(G319,#REF!)</f>
        <v>#VALUE!</v>
      </c>
      <c r="G319" s="169" t="n">
        <f aca="false">IF(I318=0,Model_Start_Date,I318+1)</f>
        <v>48549</v>
      </c>
      <c r="H319" s="1"/>
      <c r="I319" s="169" t="n">
        <f aca="false">EOMONTH(G319,0)</f>
        <v>48579</v>
      </c>
      <c r="K319" s="15" t="s">
        <v>687</v>
      </c>
      <c r="L319" s="12"/>
      <c r="M319" s="170" t="n">
        <f aca="false">IF(AND(M$26&lt;=$G$224,$G319=Model_Start_Date),1,IF(AND(M$25&lt;=$G$224,M$26&lt;=$I$224,$G319=Model_Start_Date),1,IF(AND(M$25&lt;=$G$224,M$26&gt;=$G$224,$G319=Model_Start_Date),($I$224-M$25+1)/(M$26-M$25+1),IF(AND($G319&gt;=M$25,$I319&lt;=M$26),($I319-$G319+1)/(M$26-M$25+1),IF(AND($G319&lt;=M$25,$I319&gt;=M$26),1,IF(AND($G319&lt;=M$25,$I319&gt;=M$25),($I319-M$25+1)/(M$26-M$25+1),IF(AND($G319&lt;=M$26,$I319&gt;=M$26),(M$26-$G319+1)/(M$26-M$25+1),0)))))))</f>
        <v>0</v>
      </c>
      <c r="N319" s="170" t="n">
        <f aca="false">IF(AND(N$26&lt;=$G$224,$G319=Model_Start_Date),1,IF(AND(N$25&lt;=$G$224,N$26&lt;=$I$224,$G319=Model_Start_Date),1,IF(AND(N$25&lt;=$G$224,N$26&gt;=$G$224,$G319=Model_Start_Date),($I$224-N$25+1)/(N$26-N$25+1),IF(AND($G319&gt;=N$25,$I319&lt;=N$26),($I319-$G319+1)/(N$26-N$25+1),IF(AND($G319&lt;=N$25,$I319&gt;=N$26),1,IF(AND($G319&lt;=N$25,$I319&gt;=N$25),($I319-N$25+1)/(N$26-N$25+1),IF(AND($G319&lt;=N$26,$I319&gt;=N$26),(N$26-$G319+1)/(N$26-N$25+1),0)))))))</f>
        <v>0</v>
      </c>
      <c r="O319" s="170" t="n">
        <f aca="false">IF(AND(O$26&lt;=$G$224,$G319=Model_Start_Date),1,IF(AND(O$25&lt;=$G$224,O$26&lt;=$I$224,$G319=Model_Start_Date),1,IF(AND(O$25&lt;=$G$224,O$26&gt;=$G$224,$G319=Model_Start_Date),($I$224-O$25+1)/(O$26-O$25+1),IF(AND($G319&gt;=O$25,$I319&lt;=O$26),($I319-$G319+1)/(O$26-O$25+1),IF(AND($G319&lt;=O$25,$I319&gt;=O$26),1,IF(AND($G319&lt;=O$25,$I319&gt;=O$25),($I319-O$25+1)/(O$26-O$25+1),IF(AND($G319&lt;=O$26,$I319&gt;=O$26),(O$26-$G319+1)/(O$26-O$25+1),0)))))))</f>
        <v>0</v>
      </c>
      <c r="P319" s="170" t="n">
        <f aca="false">IF(AND(P$26&lt;=$G$224,$G319=Model_Start_Date),1,IF(AND(P$25&lt;=$G$224,P$26&lt;=$I$224,$G319=Model_Start_Date),1,IF(AND(P$25&lt;=$G$224,P$26&gt;=$G$224,$G319=Model_Start_Date),($I$224-P$25+1)/(P$26-P$25+1),IF(AND($G319&gt;=P$25,$I319&lt;=P$26),($I319-$G319+1)/(P$26-P$25+1),IF(AND($G319&lt;=P$25,$I319&gt;=P$26),1,IF(AND($G319&lt;=P$25,$I319&gt;=P$25),($I319-P$25+1)/(P$26-P$25+1),IF(AND($G319&lt;=P$26,$I319&gt;=P$26),(P$26-$G319+1)/(P$26-P$25+1),0)))))))</f>
        <v>0</v>
      </c>
    </row>
    <row r="320" customFormat="false" ht="14.9" hidden="false" customHeight="false" outlineLevel="0" collapsed="false">
      <c r="B320" s="1"/>
      <c r="C320" s="5" t="s">
        <v>688</v>
      </c>
      <c r="D320" s="1"/>
      <c r="E320" s="1"/>
      <c r="F320" s="1"/>
      <c r="G320" s="1"/>
      <c r="H320" s="15" t="s">
        <v>248</v>
      </c>
      <c r="I320" s="10" t="n">
        <f aca="false">COUNTIF(M320:O320,FALSE())=0</f>
        <v>1</v>
      </c>
      <c r="K320" s="15" t="s">
        <v>109</v>
      </c>
      <c r="L320" s="12"/>
      <c r="M320" s="10" t="n">
        <f aca="false">IF(M16,ROUND(SUM(M224:M319),Accuracy_Check)=1,TRUE())</f>
        <v>1</v>
      </c>
      <c r="N320" s="10" t="n">
        <f aca="false">IF(N16,ROUND(SUM(N224:N319),Accuracy_Check)=1,TRUE())</f>
        <v>1</v>
      </c>
      <c r="O320" s="10" t="n">
        <f aca="false">IF(O16,ROUND(SUM(O224:O319),Accuracy_Check)=1,TRUE())</f>
        <v>1</v>
      </c>
      <c r="P320" s="10" t="n">
        <f aca="false">IF(P16,ROUND(SUM(P224:P319),Accuracy_Check)=1,TRUE())</f>
        <v>1</v>
      </c>
    </row>
    <row r="321" customFormat="false" ht="13.8" hidden="false" customHeight="false" outlineLevel="0" collapsed="false">
      <c r="B321" s="1"/>
      <c r="D321" s="1"/>
      <c r="E321" s="1"/>
      <c r="F321" s="1"/>
      <c r="G321" s="1"/>
      <c r="H321" s="1"/>
      <c r="I321" s="1"/>
      <c r="K321" s="1"/>
      <c r="L321" s="12"/>
      <c r="M321" s="1"/>
      <c r="N321" s="1"/>
      <c r="O321" s="1"/>
      <c r="P321" s="1"/>
    </row>
    <row r="322" customFormat="false" ht="13.8" hidden="false" customHeight="false" outlineLevel="0" collapsed="false">
      <c r="B322" s="1"/>
      <c r="C322" s="5" t="s">
        <v>689</v>
      </c>
      <c r="E322" s="14" t="s">
        <v>690</v>
      </c>
      <c r="F322" s="14" t="s">
        <v>686</v>
      </c>
      <c r="G322" s="14" t="s">
        <v>513</v>
      </c>
      <c r="H322" s="1"/>
      <c r="I322" s="14" t="s">
        <v>514</v>
      </c>
      <c r="K322" s="1"/>
      <c r="L322" s="12"/>
      <c r="M322" s="1"/>
      <c r="N322" s="1"/>
      <c r="O322" s="1"/>
      <c r="P322" s="1"/>
    </row>
    <row r="323" customFormat="false" ht="13.8" hidden="false" customHeight="false" outlineLevel="0" collapsed="false">
      <c r="B323" s="1"/>
      <c r="C323" s="171" t="e">
        <f aca="false">#REF!</f>
        <v>#REF!</v>
      </c>
      <c r="E323" s="168" t="n">
        <v>0</v>
      </c>
      <c r="G323" s="1"/>
      <c r="H323" s="1"/>
      <c r="I323" s="168" t="n">
        <v>0</v>
      </c>
      <c r="K323" s="15" t="s">
        <v>25</v>
      </c>
      <c r="L323" s="12"/>
      <c r="M323" s="111" t="e">
        <f aca="false">IF(M16,IF(INDEX(#REF!,,M$8),INDEX(#REF!,,M$8),0),"")</f>
        <v>#VALUE!</v>
      </c>
      <c r="N323" s="111" t="str">
        <f aca="false">IF(N16,IF(INDEX(#REF!,,N$8),INDEX(#REF!,,N$8),0),"")</f>
        <v/>
      </c>
      <c r="O323" s="111" t="e">
        <f aca="false">IF(O16,IF(INDEX(#REF!,,O$8),INDEX(#REF!,,O$8),0),"")</f>
        <v>#VALUE!</v>
      </c>
      <c r="P323" s="111" t="e">
        <f aca="false">IF(P16,IF(INDEX(#REF!,,P$8),INDEX(#REF!,,P$8),0),"")</f>
        <v>#VALUE!</v>
      </c>
    </row>
    <row r="324" customFormat="false" ht="13.8" hidden="false" customHeight="false" outlineLevel="0" collapsed="false">
      <c r="B324" s="1"/>
      <c r="C324" s="136"/>
      <c r="E324" s="5" t="n">
        <f aca="false">E323+1</f>
        <v>1</v>
      </c>
      <c r="F324" s="5" t="e">
        <f aca="false">MATCH(G324,#REF!)</f>
        <v>#VALUE!</v>
      </c>
      <c r="G324" s="169" t="n">
        <f aca="false">IF(I323=0,Model_Start_Date,I323+1)</f>
        <v>45658</v>
      </c>
      <c r="H324" s="1"/>
      <c r="I324" s="169" t="n">
        <f aca="false">EOMONTH(G324,0)</f>
        <v>45688</v>
      </c>
      <c r="K324" s="15" t="s">
        <v>12</v>
      </c>
      <c r="L324" s="12"/>
      <c r="M324" s="21" t="e">
        <f aca="false">IF(M$323&lt;$I324,SUM(M$218:M$219)*M224+IF(AND(INDEX(#REF!,,M$8)&gt;=$G324,INDEX(#REF!,,M$8)&lt;=$I324),M$220,),0)</f>
        <v>#VALUE!</v>
      </c>
      <c r="N324" s="21" t="n">
        <f aca="false">IF(N$323&lt;$I324,SUM(N$218:N$219)*N224+IF(AND(INDEX(#REF!,,N$8)&gt;=$G324,INDEX(#REF!,,N$8)&lt;=$I324),N$220,),0)</f>
        <v>0</v>
      </c>
      <c r="O324" s="21" t="e">
        <f aca="false">IF(O$323&lt;$I324,SUM(O$218:O$219)*O224+IF(AND(INDEX(#REF!,,O$8)&gt;=$G324,INDEX(#REF!,,O$8)&lt;=$I324),O$220,),0)</f>
        <v>#VALUE!</v>
      </c>
      <c r="P324" s="21" t="e">
        <f aca="false">IF(P$323&lt;$I324,SUM(P$218:P$219)*P224+IF(AND(INDEX(#REF!,,P$8)&gt;=$G324,INDEX(#REF!,,P$8)&lt;=$I324),P$220,),0)</f>
        <v>#VALUE!</v>
      </c>
    </row>
    <row r="325" customFormat="false" ht="13.8" hidden="false" customHeight="false" outlineLevel="0" collapsed="false">
      <c r="B325" s="1"/>
      <c r="C325" s="136"/>
      <c r="E325" s="5" t="n">
        <f aca="false">E324+1</f>
        <v>2</v>
      </c>
      <c r="F325" s="5" t="e">
        <f aca="false">MATCH(G325,#REF!)</f>
        <v>#VALUE!</v>
      </c>
      <c r="G325" s="169" t="n">
        <f aca="false">IF(I324=0,Model_Start_Date,I324+1)</f>
        <v>45689</v>
      </c>
      <c r="H325" s="1"/>
      <c r="I325" s="169" t="n">
        <f aca="false">EOMONTH(G325,0)</f>
        <v>45716</v>
      </c>
      <c r="K325" s="15" t="s">
        <v>12</v>
      </c>
      <c r="L325" s="12"/>
      <c r="M325" s="21" t="e">
        <f aca="false">IF(M$323&lt;$I325,SUM(M$218:M$219)*M225+IF(AND(INDEX(#REF!,,M$8)&gt;=$G325,INDEX(#REF!,,M$8)&lt;=$I325),M$220,),0)</f>
        <v>#VALUE!</v>
      </c>
      <c r="N325" s="21" t="n">
        <f aca="false">IF(N$323&lt;$I325,SUM(N$218:N$219)*N225+IF(AND(INDEX(#REF!,,N$8)&gt;=$G325,INDEX(#REF!,,N$8)&lt;=$I325),N$220,),0)</f>
        <v>0</v>
      </c>
      <c r="O325" s="21" t="e">
        <f aca="false">IF(O$323&lt;$I325,SUM(O$218:O$219)*O225+IF(AND(INDEX(#REF!,,O$8)&gt;=$G325,INDEX(#REF!,,O$8)&lt;=$I325),O$220,),0)</f>
        <v>#VALUE!</v>
      </c>
      <c r="P325" s="21" t="e">
        <f aca="false">IF(P$323&lt;$I325,SUM(P$218:P$219)*P225+IF(AND(INDEX(#REF!,,P$8)&gt;=$G325,INDEX(#REF!,,P$8)&lt;=$I325),P$220,),0)</f>
        <v>#VALUE!</v>
      </c>
    </row>
    <row r="326" customFormat="false" ht="13.8" hidden="false" customHeight="false" outlineLevel="0" collapsed="false">
      <c r="B326" s="1"/>
      <c r="C326" s="136"/>
      <c r="E326" s="5" t="n">
        <f aca="false">E325+1</f>
        <v>3</v>
      </c>
      <c r="F326" s="5" t="e">
        <f aca="false">MATCH(G326,#REF!)</f>
        <v>#VALUE!</v>
      </c>
      <c r="G326" s="169" t="n">
        <f aca="false">IF(I325=0,Model_Start_Date,I325+1)</f>
        <v>45717</v>
      </c>
      <c r="H326" s="1"/>
      <c r="I326" s="169" t="n">
        <f aca="false">EOMONTH(G326,0)</f>
        <v>45747</v>
      </c>
      <c r="K326" s="15" t="s">
        <v>12</v>
      </c>
      <c r="L326" s="12"/>
      <c r="M326" s="21" t="e">
        <f aca="false">IF(M$323&lt;$I326,SUM(M$218:M$219)*M226+IF(AND(INDEX(#REF!,,M$8)&gt;=$G326,INDEX(#REF!,,M$8)&lt;=$I326),M$220,),0)</f>
        <v>#VALUE!</v>
      </c>
      <c r="N326" s="21" t="n">
        <f aca="false">IF(N$323&lt;$I326,SUM(N$218:N$219)*N226+IF(AND(INDEX(#REF!,,N$8)&gt;=$G326,INDEX(#REF!,,N$8)&lt;=$I326),N$220,),0)</f>
        <v>0</v>
      </c>
      <c r="O326" s="21" t="e">
        <f aca="false">IF(O$323&lt;$I326,SUM(O$218:O$219)*O226+IF(AND(INDEX(#REF!,,O$8)&gt;=$G326,INDEX(#REF!,,O$8)&lt;=$I326),O$220,),0)</f>
        <v>#VALUE!</v>
      </c>
      <c r="P326" s="21" t="e">
        <f aca="false">IF(P$323&lt;$I326,SUM(P$218:P$219)*P226+IF(AND(INDEX(#REF!,,P$8)&gt;=$G326,INDEX(#REF!,,P$8)&lt;=$I326),P$220,),0)</f>
        <v>#VALUE!</v>
      </c>
    </row>
    <row r="327" customFormat="false" ht="13.8" hidden="false" customHeight="false" outlineLevel="0" collapsed="false">
      <c r="B327" s="1"/>
      <c r="C327" s="136"/>
      <c r="E327" s="5" t="n">
        <f aca="false">E326+1</f>
        <v>4</v>
      </c>
      <c r="F327" s="5" t="e">
        <f aca="false">MATCH(G327,#REF!)</f>
        <v>#VALUE!</v>
      </c>
      <c r="G327" s="169" t="n">
        <f aca="false">IF(I326=0,Model_Start_Date,I326+1)</f>
        <v>45748</v>
      </c>
      <c r="H327" s="1"/>
      <c r="I327" s="169" t="n">
        <f aca="false">EOMONTH(G327,0)</f>
        <v>45777</v>
      </c>
      <c r="K327" s="15" t="s">
        <v>12</v>
      </c>
      <c r="L327" s="12"/>
      <c r="M327" s="21" t="e">
        <f aca="false">IF(M$323&lt;$I327,SUM(M$218:M$219)*M227+IF(AND(INDEX(#REF!,,M$8)&gt;=$G327,INDEX(#REF!,,M$8)&lt;=$I327),M$220,),0)</f>
        <v>#VALUE!</v>
      </c>
      <c r="N327" s="21" t="n">
        <f aca="false">IF(N$323&lt;$I327,SUM(N$218:N$219)*N227+IF(AND(INDEX(#REF!,,N$8)&gt;=$G327,INDEX(#REF!,,N$8)&lt;=$I327),N$220,),0)</f>
        <v>0</v>
      </c>
      <c r="O327" s="21" t="e">
        <f aca="false">IF(O$323&lt;$I327,SUM(O$218:O$219)*O227+IF(AND(INDEX(#REF!,,O$8)&gt;=$G327,INDEX(#REF!,,O$8)&lt;=$I327),O$220,),0)</f>
        <v>#VALUE!</v>
      </c>
      <c r="P327" s="21" t="e">
        <f aca="false">IF(P$323&lt;$I327,SUM(P$218:P$219)*P227+IF(AND(INDEX(#REF!,,P$8)&gt;=$G327,INDEX(#REF!,,P$8)&lt;=$I327),P$220,),0)</f>
        <v>#VALUE!</v>
      </c>
    </row>
    <row r="328" customFormat="false" ht="13.8" hidden="false" customHeight="false" outlineLevel="0" collapsed="false">
      <c r="B328" s="1"/>
      <c r="C328" s="136"/>
      <c r="E328" s="5" t="n">
        <f aca="false">E327+1</f>
        <v>5</v>
      </c>
      <c r="F328" s="5" t="e">
        <f aca="false">MATCH(G328,#REF!)</f>
        <v>#VALUE!</v>
      </c>
      <c r="G328" s="169" t="n">
        <f aca="false">IF(I327=0,Model_Start_Date,I327+1)</f>
        <v>45778</v>
      </c>
      <c r="H328" s="1"/>
      <c r="I328" s="169" t="n">
        <f aca="false">EOMONTH(G328,0)</f>
        <v>45808</v>
      </c>
      <c r="K328" s="15" t="s">
        <v>12</v>
      </c>
      <c r="L328" s="12"/>
      <c r="M328" s="21" t="e">
        <f aca="false">IF(M$323&lt;$I328,SUM(M$218:M$219)*M228+IF(AND(INDEX(#REF!,,M$8)&gt;=$G328,INDEX(#REF!,,M$8)&lt;=$I328),M$220,),0)</f>
        <v>#VALUE!</v>
      </c>
      <c r="N328" s="21" t="n">
        <f aca="false">IF(N$323&lt;$I328,SUM(N$218:N$219)*N228+IF(AND(INDEX(#REF!,,N$8)&gt;=$G328,INDEX(#REF!,,N$8)&lt;=$I328),N$220,),0)</f>
        <v>0</v>
      </c>
      <c r="O328" s="21" t="e">
        <f aca="false">IF(O$323&lt;$I328,SUM(O$218:O$219)*O228+IF(AND(INDEX(#REF!,,O$8)&gt;=$G328,INDEX(#REF!,,O$8)&lt;=$I328),O$220,),0)</f>
        <v>#VALUE!</v>
      </c>
      <c r="P328" s="21" t="e">
        <f aca="false">IF(P$323&lt;$I328,SUM(P$218:P$219)*P228+IF(AND(INDEX(#REF!,,P$8)&gt;=$G328,INDEX(#REF!,,P$8)&lt;=$I328),P$220,),0)</f>
        <v>#VALUE!</v>
      </c>
    </row>
    <row r="329" customFormat="false" ht="13.8" hidden="false" customHeight="false" outlineLevel="0" collapsed="false">
      <c r="B329" s="1"/>
      <c r="C329" s="136"/>
      <c r="E329" s="5" t="n">
        <f aca="false">E328+1</f>
        <v>6</v>
      </c>
      <c r="F329" s="5" t="e">
        <f aca="false">MATCH(G329,#REF!)</f>
        <v>#VALUE!</v>
      </c>
      <c r="G329" s="169" t="n">
        <f aca="false">IF(I328=0,Model_Start_Date,I328+1)</f>
        <v>45809</v>
      </c>
      <c r="H329" s="1"/>
      <c r="I329" s="169" t="n">
        <f aca="false">EOMONTH(G329,0)</f>
        <v>45838</v>
      </c>
      <c r="K329" s="15" t="s">
        <v>12</v>
      </c>
      <c r="L329" s="12"/>
      <c r="M329" s="21" t="e">
        <f aca="false">IF(M$323&lt;$I329,SUM(M$218:M$219)*M229+IF(AND(INDEX(#REF!,,M$8)&gt;=$G329,INDEX(#REF!,,M$8)&lt;=$I329),M$220,),0)</f>
        <v>#VALUE!</v>
      </c>
      <c r="N329" s="21" t="n">
        <f aca="false">IF(N$323&lt;$I329,SUM(N$218:N$219)*N229+IF(AND(INDEX(#REF!,,N$8)&gt;=$G329,INDEX(#REF!,,N$8)&lt;=$I329),N$220,),0)</f>
        <v>0</v>
      </c>
      <c r="O329" s="21" t="e">
        <f aca="false">IF(O$323&lt;$I329,SUM(O$218:O$219)*O229+IF(AND(INDEX(#REF!,,O$8)&gt;=$G329,INDEX(#REF!,,O$8)&lt;=$I329),O$220,),0)</f>
        <v>#VALUE!</v>
      </c>
      <c r="P329" s="21" t="e">
        <f aca="false">IF(P$323&lt;$I329,SUM(P$218:P$219)*P229+IF(AND(INDEX(#REF!,,P$8)&gt;=$G329,INDEX(#REF!,,P$8)&lt;=$I329),P$220,),0)</f>
        <v>#VALUE!</v>
      </c>
    </row>
    <row r="330" customFormat="false" ht="13.8" hidden="false" customHeight="false" outlineLevel="0" collapsed="false">
      <c r="B330" s="1"/>
      <c r="C330" s="136"/>
      <c r="E330" s="5" t="n">
        <f aca="false">E329+1</f>
        <v>7</v>
      </c>
      <c r="F330" s="5" t="e">
        <f aca="false">MATCH(G330,#REF!)</f>
        <v>#VALUE!</v>
      </c>
      <c r="G330" s="169" t="n">
        <f aca="false">IF(I329=0,Model_Start_Date,I329+1)</f>
        <v>45839</v>
      </c>
      <c r="H330" s="1"/>
      <c r="I330" s="169" t="n">
        <f aca="false">EOMONTH(G330,0)</f>
        <v>45869</v>
      </c>
      <c r="K330" s="15" t="s">
        <v>12</v>
      </c>
      <c r="L330" s="12"/>
      <c r="M330" s="21" t="e">
        <f aca="false">IF(M$323&lt;$I330,SUM(M$218:M$219)*M230+IF(AND(INDEX(#REF!,,M$8)&gt;=$G330,INDEX(#REF!,,M$8)&lt;=$I330),M$220,),0)</f>
        <v>#VALUE!</v>
      </c>
      <c r="N330" s="21" t="n">
        <f aca="false">IF(N$323&lt;$I330,SUM(N$218:N$219)*N230+IF(AND(INDEX(#REF!,,N$8)&gt;=$G330,INDEX(#REF!,,N$8)&lt;=$I330),N$220,),0)</f>
        <v>0</v>
      </c>
      <c r="O330" s="21" t="e">
        <f aca="false">IF(O$323&lt;$I330,SUM(O$218:O$219)*O230+IF(AND(INDEX(#REF!,,O$8)&gt;=$G330,INDEX(#REF!,,O$8)&lt;=$I330),O$220,),0)</f>
        <v>#VALUE!</v>
      </c>
      <c r="P330" s="21" t="e">
        <f aca="false">IF(P$323&lt;$I330,SUM(P$218:P$219)*P230+IF(AND(INDEX(#REF!,,P$8)&gt;=$G330,INDEX(#REF!,,P$8)&lt;=$I330),P$220,),0)</f>
        <v>#VALUE!</v>
      </c>
    </row>
    <row r="331" customFormat="false" ht="13.8" hidden="false" customHeight="false" outlineLevel="0" collapsed="false">
      <c r="B331" s="1"/>
      <c r="C331" s="136"/>
      <c r="E331" s="5" t="n">
        <f aca="false">E330+1</f>
        <v>8</v>
      </c>
      <c r="F331" s="5" t="e">
        <f aca="false">MATCH(G331,#REF!)</f>
        <v>#VALUE!</v>
      </c>
      <c r="G331" s="169" t="n">
        <f aca="false">IF(I330=0,Model_Start_Date,I330+1)</f>
        <v>45870</v>
      </c>
      <c r="H331" s="1"/>
      <c r="I331" s="169" t="n">
        <f aca="false">EOMONTH(G331,0)</f>
        <v>45900</v>
      </c>
      <c r="K331" s="15" t="s">
        <v>12</v>
      </c>
      <c r="L331" s="12"/>
      <c r="M331" s="21" t="e">
        <f aca="false">IF(M$323&lt;$I331,SUM(M$218:M$219)*M231+IF(AND(INDEX(#REF!,,M$8)&gt;=$G331,INDEX(#REF!,,M$8)&lt;=$I331),M$220,),0)</f>
        <v>#VALUE!</v>
      </c>
      <c r="N331" s="21" t="n">
        <f aca="false">IF(N$323&lt;$I331,SUM(N$218:N$219)*N231+IF(AND(INDEX(#REF!,,N$8)&gt;=$G331,INDEX(#REF!,,N$8)&lt;=$I331),N$220,),0)</f>
        <v>0</v>
      </c>
      <c r="O331" s="21" t="e">
        <f aca="false">IF(O$323&lt;$I331,SUM(O$218:O$219)*O231+IF(AND(INDEX(#REF!,,O$8)&gt;=$G331,INDEX(#REF!,,O$8)&lt;=$I331),O$220,),0)</f>
        <v>#VALUE!</v>
      </c>
      <c r="P331" s="21" t="e">
        <f aca="false">IF(P$323&lt;$I331,SUM(P$218:P$219)*P231+IF(AND(INDEX(#REF!,,P$8)&gt;=$G331,INDEX(#REF!,,P$8)&lt;=$I331),P$220,),0)</f>
        <v>#VALUE!</v>
      </c>
    </row>
    <row r="332" customFormat="false" ht="13.8" hidden="false" customHeight="false" outlineLevel="0" collapsed="false">
      <c r="B332" s="1"/>
      <c r="C332" s="136"/>
      <c r="E332" s="5" t="n">
        <f aca="false">E331+1</f>
        <v>9</v>
      </c>
      <c r="F332" s="5" t="e">
        <f aca="false">MATCH(G332,#REF!)</f>
        <v>#VALUE!</v>
      </c>
      <c r="G332" s="169" t="n">
        <f aca="false">IF(I331=0,Model_Start_Date,I331+1)</f>
        <v>45901</v>
      </c>
      <c r="H332" s="1"/>
      <c r="I332" s="169" t="n">
        <f aca="false">EOMONTH(G332,0)</f>
        <v>45930</v>
      </c>
      <c r="K332" s="15" t="s">
        <v>12</v>
      </c>
      <c r="L332" s="12"/>
      <c r="M332" s="21" t="e">
        <f aca="false">IF(M$323&lt;$I332,SUM(M$218:M$219)*M232+IF(AND(INDEX(#REF!,,M$8)&gt;=$G332,INDEX(#REF!,,M$8)&lt;=$I332),M$220,),0)</f>
        <v>#VALUE!</v>
      </c>
      <c r="N332" s="21" t="n">
        <f aca="false">IF(N$323&lt;$I332,SUM(N$218:N$219)*N232+IF(AND(INDEX(#REF!,,N$8)&gt;=$G332,INDEX(#REF!,,N$8)&lt;=$I332),N$220,),0)</f>
        <v>0</v>
      </c>
      <c r="O332" s="21" t="e">
        <f aca="false">IF(O$323&lt;$I332,SUM(O$218:O$219)*O232+IF(AND(INDEX(#REF!,,O$8)&gt;=$G332,INDEX(#REF!,,O$8)&lt;=$I332),O$220,),0)</f>
        <v>#VALUE!</v>
      </c>
      <c r="P332" s="21" t="e">
        <f aca="false">IF(P$323&lt;$I332,SUM(P$218:P$219)*P232+IF(AND(INDEX(#REF!,,P$8)&gt;=$G332,INDEX(#REF!,,P$8)&lt;=$I332),P$220,),0)</f>
        <v>#VALUE!</v>
      </c>
    </row>
    <row r="333" customFormat="false" ht="13.8" hidden="false" customHeight="false" outlineLevel="0" collapsed="false">
      <c r="B333" s="1"/>
      <c r="C333" s="136"/>
      <c r="E333" s="5" t="n">
        <f aca="false">E332+1</f>
        <v>10</v>
      </c>
      <c r="F333" s="5" t="e">
        <f aca="false">MATCH(G333,#REF!)</f>
        <v>#VALUE!</v>
      </c>
      <c r="G333" s="169" t="n">
        <f aca="false">IF(I332=0,Model_Start_Date,I332+1)</f>
        <v>45931</v>
      </c>
      <c r="H333" s="1"/>
      <c r="I333" s="169" t="n">
        <f aca="false">EOMONTH(G333,0)</f>
        <v>45961</v>
      </c>
      <c r="K333" s="15" t="s">
        <v>12</v>
      </c>
      <c r="L333" s="12"/>
      <c r="M333" s="21" t="e">
        <f aca="false">IF(M$323&lt;$I333,SUM(M$218:M$219)*M233+IF(AND(INDEX(#REF!,,M$8)&gt;=$G333,INDEX(#REF!,,M$8)&lt;=$I333),M$220,),0)</f>
        <v>#VALUE!</v>
      </c>
      <c r="N333" s="21" t="n">
        <f aca="false">IF(N$323&lt;$I333,SUM(N$218:N$219)*N233+IF(AND(INDEX(#REF!,,N$8)&gt;=$G333,INDEX(#REF!,,N$8)&lt;=$I333),N$220,),0)</f>
        <v>0</v>
      </c>
      <c r="O333" s="21" t="e">
        <f aca="false">IF(O$323&lt;$I333,SUM(O$218:O$219)*O233+IF(AND(INDEX(#REF!,,O$8)&gt;=$G333,INDEX(#REF!,,O$8)&lt;=$I333),O$220,),0)</f>
        <v>#VALUE!</v>
      </c>
      <c r="P333" s="21" t="e">
        <f aca="false">IF(P$323&lt;$I333,SUM(P$218:P$219)*P233+IF(AND(INDEX(#REF!,,P$8)&gt;=$G333,INDEX(#REF!,,P$8)&lt;=$I333),P$220,),0)</f>
        <v>#VALUE!</v>
      </c>
    </row>
    <row r="334" customFormat="false" ht="13.8" hidden="false" customHeight="false" outlineLevel="0" collapsed="false">
      <c r="B334" s="1"/>
      <c r="C334" s="136"/>
      <c r="E334" s="5" t="n">
        <f aca="false">E333+1</f>
        <v>11</v>
      </c>
      <c r="F334" s="5" t="e">
        <f aca="false">MATCH(G334,#REF!)</f>
        <v>#VALUE!</v>
      </c>
      <c r="G334" s="169" t="n">
        <f aca="false">IF(I333=0,Model_Start_Date,I333+1)</f>
        <v>45962</v>
      </c>
      <c r="H334" s="1"/>
      <c r="I334" s="169" t="n">
        <f aca="false">EOMONTH(G334,0)</f>
        <v>45991</v>
      </c>
      <c r="K334" s="15" t="s">
        <v>12</v>
      </c>
      <c r="L334" s="12"/>
      <c r="M334" s="21" t="e">
        <f aca="false">IF(M$323&lt;$I334,SUM(M$218:M$219)*M234+IF(AND(INDEX(#REF!,,M$8)&gt;=$G334,INDEX(#REF!,,M$8)&lt;=$I334),M$220,),0)</f>
        <v>#VALUE!</v>
      </c>
      <c r="N334" s="21" t="n">
        <f aca="false">IF(N$323&lt;$I334,SUM(N$218:N$219)*N234+IF(AND(INDEX(#REF!,,N$8)&gt;=$G334,INDEX(#REF!,,N$8)&lt;=$I334),N$220,),0)</f>
        <v>0</v>
      </c>
      <c r="O334" s="21" t="e">
        <f aca="false">IF(O$323&lt;$I334,SUM(O$218:O$219)*O234+IF(AND(INDEX(#REF!,,O$8)&gt;=$G334,INDEX(#REF!,,O$8)&lt;=$I334),O$220,),0)</f>
        <v>#VALUE!</v>
      </c>
      <c r="P334" s="21" t="e">
        <f aca="false">IF(P$323&lt;$I334,SUM(P$218:P$219)*P234+IF(AND(INDEX(#REF!,,P$8)&gt;=$G334,INDEX(#REF!,,P$8)&lt;=$I334),P$220,),0)</f>
        <v>#VALUE!</v>
      </c>
    </row>
    <row r="335" customFormat="false" ht="13.8" hidden="false" customHeight="false" outlineLevel="0" collapsed="false">
      <c r="B335" s="1"/>
      <c r="C335" s="136"/>
      <c r="E335" s="5" t="n">
        <f aca="false">E334+1</f>
        <v>12</v>
      </c>
      <c r="F335" s="5" t="e">
        <f aca="false">MATCH(G335,#REF!)</f>
        <v>#VALUE!</v>
      </c>
      <c r="G335" s="169" t="n">
        <f aca="false">IF(I334=0,Model_Start_Date,I334+1)</f>
        <v>45992</v>
      </c>
      <c r="H335" s="1"/>
      <c r="I335" s="169" t="n">
        <f aca="false">EOMONTH(G335,0)</f>
        <v>46022</v>
      </c>
      <c r="K335" s="15" t="s">
        <v>12</v>
      </c>
      <c r="L335" s="12"/>
      <c r="M335" s="21" t="e">
        <f aca="false">IF(M$323&lt;$I335,SUM(M$218:M$219)*M235+IF(AND(INDEX(#REF!,,M$8)&gt;=$G335,INDEX(#REF!,,M$8)&lt;=$I335),M$220,),0)</f>
        <v>#VALUE!</v>
      </c>
      <c r="N335" s="21" t="n">
        <f aca="false">IF(N$323&lt;$I335,SUM(N$218:N$219)*N235+IF(AND(INDEX(#REF!,,N$8)&gt;=$G335,INDEX(#REF!,,N$8)&lt;=$I335),N$220,),0)</f>
        <v>0</v>
      </c>
      <c r="O335" s="21" t="e">
        <f aca="false">IF(O$323&lt;$I335,SUM(O$218:O$219)*O235+IF(AND(INDEX(#REF!,,O$8)&gt;=$G335,INDEX(#REF!,,O$8)&lt;=$I335),O$220,),0)</f>
        <v>#VALUE!</v>
      </c>
      <c r="P335" s="21" t="e">
        <f aca="false">IF(P$323&lt;$I335,SUM(P$218:P$219)*P235+IF(AND(INDEX(#REF!,,P$8)&gt;=$G335,INDEX(#REF!,,P$8)&lt;=$I335),P$220,),0)</f>
        <v>#VALUE!</v>
      </c>
    </row>
    <row r="336" customFormat="false" ht="13.8" hidden="false" customHeight="false" outlineLevel="0" collapsed="false">
      <c r="B336" s="1"/>
      <c r="C336" s="136"/>
      <c r="E336" s="5" t="n">
        <f aca="false">E335+1</f>
        <v>13</v>
      </c>
      <c r="F336" s="5" t="e">
        <f aca="false">MATCH(G336,#REF!)</f>
        <v>#VALUE!</v>
      </c>
      <c r="G336" s="169" t="n">
        <f aca="false">IF(I335=0,Model_Start_Date,I335+1)</f>
        <v>46023</v>
      </c>
      <c r="H336" s="1"/>
      <c r="I336" s="169" t="n">
        <f aca="false">EOMONTH(G336,0)</f>
        <v>46053</v>
      </c>
      <c r="K336" s="15" t="s">
        <v>12</v>
      </c>
      <c r="L336" s="12"/>
      <c r="M336" s="21" t="e">
        <f aca="false">IF(M$323&lt;$I336,SUM(M$218:M$219)*M236+IF(AND(INDEX(#REF!,,M$8)&gt;=$G336,INDEX(#REF!,,M$8)&lt;=$I336),M$220,),0)</f>
        <v>#VALUE!</v>
      </c>
      <c r="N336" s="21" t="n">
        <f aca="false">IF(N$323&lt;$I336,SUM(N$218:N$219)*N236+IF(AND(INDEX(#REF!,,N$8)&gt;=$G336,INDEX(#REF!,,N$8)&lt;=$I336),N$220,),0)</f>
        <v>0</v>
      </c>
      <c r="O336" s="21" t="e">
        <f aca="false">IF(O$323&lt;$I336,SUM(O$218:O$219)*O236+IF(AND(INDEX(#REF!,,O$8)&gt;=$G336,INDEX(#REF!,,O$8)&lt;=$I336),O$220,),0)</f>
        <v>#VALUE!</v>
      </c>
      <c r="P336" s="21" t="e">
        <f aca="false">IF(P$323&lt;$I336,SUM(P$218:P$219)*P236+IF(AND(INDEX(#REF!,,P$8)&gt;=$G336,INDEX(#REF!,,P$8)&lt;=$I336),P$220,),0)</f>
        <v>#VALUE!</v>
      </c>
    </row>
    <row r="337" customFormat="false" ht="13.8" hidden="false" customHeight="false" outlineLevel="0" collapsed="false">
      <c r="B337" s="1"/>
      <c r="C337" s="136"/>
      <c r="E337" s="5" t="n">
        <f aca="false">E336+1</f>
        <v>14</v>
      </c>
      <c r="F337" s="5" t="e">
        <f aca="false">MATCH(G337,#REF!)</f>
        <v>#VALUE!</v>
      </c>
      <c r="G337" s="169" t="n">
        <f aca="false">IF(I336=0,Model_Start_Date,I336+1)</f>
        <v>46054</v>
      </c>
      <c r="H337" s="1"/>
      <c r="I337" s="169" t="n">
        <f aca="false">EOMONTH(G337,0)</f>
        <v>46081</v>
      </c>
      <c r="K337" s="15" t="s">
        <v>12</v>
      </c>
      <c r="L337" s="12"/>
      <c r="M337" s="21" t="e">
        <f aca="false">IF(M$323&lt;$I337,SUM(M$218:M$219)*M237+IF(AND(INDEX(#REF!,,M$8)&gt;=$G337,INDEX(#REF!,,M$8)&lt;=$I337),M$220,),0)</f>
        <v>#VALUE!</v>
      </c>
      <c r="N337" s="21" t="n">
        <f aca="false">IF(N$323&lt;$I337,SUM(N$218:N$219)*N237+IF(AND(INDEX(#REF!,,N$8)&gt;=$G337,INDEX(#REF!,,N$8)&lt;=$I337),N$220,),0)</f>
        <v>0</v>
      </c>
      <c r="O337" s="21" t="e">
        <f aca="false">IF(O$323&lt;$I337,SUM(O$218:O$219)*O237+IF(AND(INDEX(#REF!,,O$8)&gt;=$G337,INDEX(#REF!,,O$8)&lt;=$I337),O$220,),0)</f>
        <v>#VALUE!</v>
      </c>
      <c r="P337" s="21" t="e">
        <f aca="false">IF(P$323&lt;$I337,SUM(P$218:P$219)*P237+IF(AND(INDEX(#REF!,,P$8)&gt;=$G337,INDEX(#REF!,,P$8)&lt;=$I337),P$220,),0)</f>
        <v>#VALUE!</v>
      </c>
    </row>
    <row r="338" customFormat="false" ht="13.8" hidden="false" customHeight="false" outlineLevel="0" collapsed="false">
      <c r="B338" s="1"/>
      <c r="C338" s="136"/>
      <c r="E338" s="5" t="n">
        <f aca="false">E337+1</f>
        <v>15</v>
      </c>
      <c r="F338" s="5" t="e">
        <f aca="false">MATCH(G338,#REF!)</f>
        <v>#VALUE!</v>
      </c>
      <c r="G338" s="169" t="n">
        <f aca="false">IF(I337=0,Model_Start_Date,I337+1)</f>
        <v>46082</v>
      </c>
      <c r="H338" s="1"/>
      <c r="I338" s="169" t="n">
        <f aca="false">EOMONTH(G338,0)</f>
        <v>46112</v>
      </c>
      <c r="K338" s="15" t="s">
        <v>12</v>
      </c>
      <c r="L338" s="12"/>
      <c r="M338" s="21" t="e">
        <f aca="false">IF(M$323&lt;$I338,SUM(M$218:M$219)*M238+IF(AND(INDEX(#REF!,,M$8)&gt;=$G338,INDEX(#REF!,,M$8)&lt;=$I338),M$220,),0)</f>
        <v>#VALUE!</v>
      </c>
      <c r="N338" s="21" t="n">
        <f aca="false">IF(N$323&lt;$I338,SUM(N$218:N$219)*N238+IF(AND(INDEX(#REF!,,N$8)&gt;=$G338,INDEX(#REF!,,N$8)&lt;=$I338),N$220,),0)</f>
        <v>0</v>
      </c>
      <c r="O338" s="21" t="e">
        <f aca="false">IF(O$323&lt;$I338,SUM(O$218:O$219)*O238+IF(AND(INDEX(#REF!,,O$8)&gt;=$G338,INDEX(#REF!,,O$8)&lt;=$I338),O$220,),0)</f>
        <v>#VALUE!</v>
      </c>
      <c r="P338" s="21" t="e">
        <f aca="false">IF(P$323&lt;$I338,SUM(P$218:P$219)*P238+IF(AND(INDEX(#REF!,,P$8)&gt;=$G338,INDEX(#REF!,,P$8)&lt;=$I338),P$220,),0)</f>
        <v>#VALUE!</v>
      </c>
    </row>
    <row r="339" customFormat="false" ht="13.8" hidden="false" customHeight="false" outlineLevel="0" collapsed="false">
      <c r="B339" s="1"/>
      <c r="C339" s="136"/>
      <c r="E339" s="5" t="n">
        <f aca="false">E338+1</f>
        <v>16</v>
      </c>
      <c r="F339" s="5" t="e">
        <f aca="false">MATCH(G339,#REF!)</f>
        <v>#VALUE!</v>
      </c>
      <c r="G339" s="169" t="n">
        <f aca="false">IF(I338=0,Model_Start_Date,I338+1)</f>
        <v>46113</v>
      </c>
      <c r="H339" s="1"/>
      <c r="I339" s="169" t="n">
        <f aca="false">EOMONTH(G339,0)</f>
        <v>46142</v>
      </c>
      <c r="K339" s="15" t="s">
        <v>12</v>
      </c>
      <c r="L339" s="12"/>
      <c r="M339" s="21" t="e">
        <f aca="false">IF(M$323&lt;$I339,SUM(M$218:M$219)*M239+IF(AND(INDEX(#REF!,,M$8)&gt;=$G339,INDEX(#REF!,,M$8)&lt;=$I339),M$220,),0)</f>
        <v>#VALUE!</v>
      </c>
      <c r="N339" s="21" t="n">
        <f aca="false">IF(N$323&lt;$I339,SUM(N$218:N$219)*N239+IF(AND(INDEX(#REF!,,N$8)&gt;=$G339,INDEX(#REF!,,N$8)&lt;=$I339),N$220,),0)</f>
        <v>0</v>
      </c>
      <c r="O339" s="21" t="e">
        <f aca="false">IF(O$323&lt;$I339,SUM(O$218:O$219)*O239+IF(AND(INDEX(#REF!,,O$8)&gt;=$G339,INDEX(#REF!,,O$8)&lt;=$I339),O$220,),0)</f>
        <v>#VALUE!</v>
      </c>
      <c r="P339" s="21" t="e">
        <f aca="false">IF(P$323&lt;$I339,SUM(P$218:P$219)*P239+IF(AND(INDEX(#REF!,,P$8)&gt;=$G339,INDEX(#REF!,,P$8)&lt;=$I339),P$220,),0)</f>
        <v>#VALUE!</v>
      </c>
    </row>
    <row r="340" customFormat="false" ht="13.8" hidden="false" customHeight="false" outlineLevel="0" collapsed="false">
      <c r="B340" s="1"/>
      <c r="C340" s="136"/>
      <c r="E340" s="5" t="n">
        <f aca="false">E339+1</f>
        <v>17</v>
      </c>
      <c r="F340" s="5" t="e">
        <f aca="false">MATCH(G340,#REF!)</f>
        <v>#VALUE!</v>
      </c>
      <c r="G340" s="169" t="n">
        <f aca="false">IF(I339=0,Model_Start_Date,I339+1)</f>
        <v>46143</v>
      </c>
      <c r="H340" s="1"/>
      <c r="I340" s="169" t="n">
        <f aca="false">EOMONTH(G340,0)</f>
        <v>46173</v>
      </c>
      <c r="K340" s="15" t="s">
        <v>12</v>
      </c>
      <c r="L340" s="12"/>
      <c r="M340" s="21" t="e">
        <f aca="false">IF(M$323&lt;$I340,SUM(M$218:M$219)*M240+IF(AND(INDEX(#REF!,,M$8)&gt;=$G340,INDEX(#REF!,,M$8)&lt;=$I340),M$220,),0)</f>
        <v>#VALUE!</v>
      </c>
      <c r="N340" s="21" t="n">
        <f aca="false">IF(N$323&lt;$I340,SUM(N$218:N$219)*N240+IF(AND(INDEX(#REF!,,N$8)&gt;=$G340,INDEX(#REF!,,N$8)&lt;=$I340),N$220,),0)</f>
        <v>0</v>
      </c>
      <c r="O340" s="21" t="e">
        <f aca="false">IF(O$323&lt;$I340,SUM(O$218:O$219)*O240+IF(AND(INDEX(#REF!,,O$8)&gt;=$G340,INDEX(#REF!,,O$8)&lt;=$I340),O$220,),0)</f>
        <v>#VALUE!</v>
      </c>
      <c r="P340" s="21" t="e">
        <f aca="false">IF(P$323&lt;$I340,SUM(P$218:P$219)*P240+IF(AND(INDEX(#REF!,,P$8)&gt;=$G340,INDEX(#REF!,,P$8)&lt;=$I340),P$220,),0)</f>
        <v>#VALUE!</v>
      </c>
    </row>
    <row r="341" customFormat="false" ht="13.8" hidden="false" customHeight="false" outlineLevel="0" collapsed="false">
      <c r="B341" s="1"/>
      <c r="C341" s="136"/>
      <c r="E341" s="5" t="n">
        <f aca="false">E340+1</f>
        <v>18</v>
      </c>
      <c r="F341" s="5" t="e">
        <f aca="false">MATCH(G341,#REF!)</f>
        <v>#VALUE!</v>
      </c>
      <c r="G341" s="169" t="n">
        <f aca="false">IF(I340=0,Model_Start_Date,I340+1)</f>
        <v>46174</v>
      </c>
      <c r="H341" s="1"/>
      <c r="I341" s="169" t="n">
        <f aca="false">EOMONTH(G341,0)</f>
        <v>46203</v>
      </c>
      <c r="K341" s="15" t="s">
        <v>12</v>
      </c>
      <c r="L341" s="12"/>
      <c r="M341" s="21" t="e">
        <f aca="false">IF(M$323&lt;$I341,SUM(M$218:M$219)*M241+IF(AND(INDEX(#REF!,,M$8)&gt;=$G341,INDEX(#REF!,,M$8)&lt;=$I341),M$220,),0)</f>
        <v>#VALUE!</v>
      </c>
      <c r="N341" s="21" t="n">
        <f aca="false">IF(N$323&lt;$I341,SUM(N$218:N$219)*N241+IF(AND(INDEX(#REF!,,N$8)&gt;=$G341,INDEX(#REF!,,N$8)&lt;=$I341),N$220,),0)</f>
        <v>0</v>
      </c>
      <c r="O341" s="21" t="e">
        <f aca="false">IF(O$323&lt;$I341,SUM(O$218:O$219)*O241+IF(AND(INDEX(#REF!,,O$8)&gt;=$G341,INDEX(#REF!,,O$8)&lt;=$I341),O$220,),0)</f>
        <v>#VALUE!</v>
      </c>
      <c r="P341" s="21" t="e">
        <f aca="false">IF(P$323&lt;$I341,SUM(P$218:P$219)*P241+IF(AND(INDEX(#REF!,,P$8)&gt;=$G341,INDEX(#REF!,,P$8)&lt;=$I341),P$220,),0)</f>
        <v>#VALUE!</v>
      </c>
    </row>
    <row r="342" customFormat="false" ht="13.8" hidden="false" customHeight="false" outlineLevel="0" collapsed="false">
      <c r="B342" s="1"/>
      <c r="C342" s="136"/>
      <c r="E342" s="5" t="n">
        <f aca="false">E341+1</f>
        <v>19</v>
      </c>
      <c r="F342" s="5" t="e">
        <f aca="false">MATCH(G342,#REF!)</f>
        <v>#VALUE!</v>
      </c>
      <c r="G342" s="169" t="n">
        <f aca="false">IF(I341=0,Model_Start_Date,I341+1)</f>
        <v>46204</v>
      </c>
      <c r="H342" s="1"/>
      <c r="I342" s="169" t="n">
        <f aca="false">EOMONTH(G342,0)</f>
        <v>46234</v>
      </c>
      <c r="K342" s="15" t="s">
        <v>12</v>
      </c>
      <c r="L342" s="12"/>
      <c r="M342" s="21" t="e">
        <f aca="false">IF(M$323&lt;$I342,SUM(M$218:M$219)*M242+IF(AND(INDEX(#REF!,,M$8)&gt;=$G342,INDEX(#REF!,,M$8)&lt;=$I342),M$220,),0)</f>
        <v>#VALUE!</v>
      </c>
      <c r="N342" s="21" t="n">
        <f aca="false">IF(N$323&lt;$I342,SUM(N$218:N$219)*N242+IF(AND(INDEX(#REF!,,N$8)&gt;=$G342,INDEX(#REF!,,N$8)&lt;=$I342),N$220,),0)</f>
        <v>0</v>
      </c>
      <c r="O342" s="21" t="e">
        <f aca="false">IF(O$323&lt;$I342,SUM(O$218:O$219)*O242+IF(AND(INDEX(#REF!,,O$8)&gt;=$G342,INDEX(#REF!,,O$8)&lt;=$I342),O$220,),0)</f>
        <v>#VALUE!</v>
      </c>
      <c r="P342" s="21" t="e">
        <f aca="false">IF(P$323&lt;$I342,SUM(P$218:P$219)*P242+IF(AND(INDEX(#REF!,,P$8)&gt;=$G342,INDEX(#REF!,,P$8)&lt;=$I342),P$220,),0)</f>
        <v>#VALUE!</v>
      </c>
    </row>
    <row r="343" customFormat="false" ht="13.8" hidden="false" customHeight="false" outlineLevel="0" collapsed="false">
      <c r="B343" s="1"/>
      <c r="C343" s="136"/>
      <c r="E343" s="5" t="n">
        <f aca="false">E342+1</f>
        <v>20</v>
      </c>
      <c r="F343" s="5" t="e">
        <f aca="false">MATCH(G343,#REF!)</f>
        <v>#VALUE!</v>
      </c>
      <c r="G343" s="169" t="n">
        <f aca="false">IF(I342=0,Model_Start_Date,I342+1)</f>
        <v>46235</v>
      </c>
      <c r="H343" s="1"/>
      <c r="I343" s="169" t="n">
        <f aca="false">EOMONTH(G343,0)</f>
        <v>46265</v>
      </c>
      <c r="K343" s="15" t="s">
        <v>12</v>
      </c>
      <c r="L343" s="12"/>
      <c r="M343" s="21" t="e">
        <f aca="false">IF(M$323&lt;$I343,SUM(M$218:M$219)*M243+IF(AND(INDEX(#REF!,,M$8)&gt;=$G343,INDEX(#REF!,,M$8)&lt;=$I343),M$220,),0)</f>
        <v>#VALUE!</v>
      </c>
      <c r="N343" s="21" t="n">
        <f aca="false">IF(N$323&lt;$I343,SUM(N$218:N$219)*N243+IF(AND(INDEX(#REF!,,N$8)&gt;=$G343,INDEX(#REF!,,N$8)&lt;=$I343),N$220,),0)</f>
        <v>0</v>
      </c>
      <c r="O343" s="21" t="e">
        <f aca="false">IF(O$323&lt;$I343,SUM(O$218:O$219)*O243+IF(AND(INDEX(#REF!,,O$8)&gt;=$G343,INDEX(#REF!,,O$8)&lt;=$I343),O$220,),0)</f>
        <v>#VALUE!</v>
      </c>
      <c r="P343" s="21" t="e">
        <f aca="false">IF(P$323&lt;$I343,SUM(P$218:P$219)*P243+IF(AND(INDEX(#REF!,,P$8)&gt;=$G343,INDEX(#REF!,,P$8)&lt;=$I343),P$220,),0)</f>
        <v>#VALUE!</v>
      </c>
    </row>
    <row r="344" customFormat="false" ht="13.8" hidden="false" customHeight="false" outlineLevel="0" collapsed="false">
      <c r="B344" s="1"/>
      <c r="C344" s="136"/>
      <c r="E344" s="5" t="n">
        <f aca="false">E343+1</f>
        <v>21</v>
      </c>
      <c r="F344" s="5" t="e">
        <f aca="false">MATCH(G344,#REF!)</f>
        <v>#VALUE!</v>
      </c>
      <c r="G344" s="169" t="n">
        <f aca="false">IF(I343=0,Model_Start_Date,I343+1)</f>
        <v>46266</v>
      </c>
      <c r="H344" s="1"/>
      <c r="I344" s="169" t="n">
        <f aca="false">EOMONTH(G344,0)</f>
        <v>46295</v>
      </c>
      <c r="K344" s="15" t="s">
        <v>12</v>
      </c>
      <c r="L344" s="12"/>
      <c r="M344" s="21" t="e">
        <f aca="false">IF(M$323&lt;$I344,SUM(M$218:M$219)*M244+IF(AND(INDEX(#REF!,,M$8)&gt;=$G344,INDEX(#REF!,,M$8)&lt;=$I344),M$220,),0)</f>
        <v>#VALUE!</v>
      </c>
      <c r="N344" s="21" t="n">
        <f aca="false">IF(N$323&lt;$I344,SUM(N$218:N$219)*N244+IF(AND(INDEX(#REF!,,N$8)&gt;=$G344,INDEX(#REF!,,N$8)&lt;=$I344),N$220,),0)</f>
        <v>0</v>
      </c>
      <c r="O344" s="21" t="e">
        <f aca="false">IF(O$323&lt;$I344,SUM(O$218:O$219)*O244+IF(AND(INDEX(#REF!,,O$8)&gt;=$G344,INDEX(#REF!,,O$8)&lt;=$I344),O$220,),0)</f>
        <v>#VALUE!</v>
      </c>
      <c r="P344" s="21" t="e">
        <f aca="false">IF(P$323&lt;$I344,SUM(P$218:P$219)*P244+IF(AND(INDEX(#REF!,,P$8)&gt;=$G344,INDEX(#REF!,,P$8)&lt;=$I344),P$220,),0)</f>
        <v>#VALUE!</v>
      </c>
    </row>
    <row r="345" customFormat="false" ht="13.8" hidden="false" customHeight="false" outlineLevel="0" collapsed="false">
      <c r="B345" s="1"/>
      <c r="C345" s="136"/>
      <c r="E345" s="5" t="n">
        <f aca="false">E344+1</f>
        <v>22</v>
      </c>
      <c r="F345" s="5" t="e">
        <f aca="false">MATCH(G345,#REF!)</f>
        <v>#VALUE!</v>
      </c>
      <c r="G345" s="169" t="n">
        <f aca="false">IF(I344=0,Model_Start_Date,I344+1)</f>
        <v>46296</v>
      </c>
      <c r="H345" s="1"/>
      <c r="I345" s="169" t="n">
        <f aca="false">EOMONTH(G345,0)</f>
        <v>46326</v>
      </c>
      <c r="K345" s="15" t="s">
        <v>12</v>
      </c>
      <c r="L345" s="12"/>
      <c r="M345" s="21" t="e">
        <f aca="false">IF(M$323&lt;$I345,SUM(M$218:M$219)*M245+IF(AND(INDEX(#REF!,,M$8)&gt;=$G345,INDEX(#REF!,,M$8)&lt;=$I345),M$220,),0)</f>
        <v>#VALUE!</v>
      </c>
      <c r="N345" s="21" t="n">
        <f aca="false">IF(N$323&lt;$I345,SUM(N$218:N$219)*N245+IF(AND(INDEX(#REF!,,N$8)&gt;=$G345,INDEX(#REF!,,N$8)&lt;=$I345),N$220,),0)</f>
        <v>0</v>
      </c>
      <c r="O345" s="21" t="e">
        <f aca="false">IF(O$323&lt;$I345,SUM(O$218:O$219)*O245+IF(AND(INDEX(#REF!,,O$8)&gt;=$G345,INDEX(#REF!,,O$8)&lt;=$I345),O$220,),0)</f>
        <v>#VALUE!</v>
      </c>
      <c r="P345" s="21" t="e">
        <f aca="false">IF(P$323&lt;$I345,SUM(P$218:P$219)*P245+IF(AND(INDEX(#REF!,,P$8)&gt;=$G345,INDEX(#REF!,,P$8)&lt;=$I345),P$220,),0)</f>
        <v>#VALUE!</v>
      </c>
    </row>
    <row r="346" customFormat="false" ht="13.8" hidden="false" customHeight="false" outlineLevel="0" collapsed="false">
      <c r="B346" s="1"/>
      <c r="C346" s="136"/>
      <c r="E346" s="5" t="n">
        <f aca="false">E345+1</f>
        <v>23</v>
      </c>
      <c r="F346" s="5" t="e">
        <f aca="false">MATCH(G346,#REF!)</f>
        <v>#VALUE!</v>
      </c>
      <c r="G346" s="169" t="n">
        <f aca="false">IF(I345=0,Model_Start_Date,I345+1)</f>
        <v>46327</v>
      </c>
      <c r="H346" s="1"/>
      <c r="I346" s="169" t="n">
        <f aca="false">EOMONTH(G346,0)</f>
        <v>46356</v>
      </c>
      <c r="K346" s="15" t="s">
        <v>12</v>
      </c>
      <c r="L346" s="12"/>
      <c r="M346" s="21" t="e">
        <f aca="false">IF(M$323&lt;$I346,SUM(M$218:M$219)*M246+IF(AND(INDEX(#REF!,,M$8)&gt;=$G346,INDEX(#REF!,,M$8)&lt;=$I346),M$220,),0)</f>
        <v>#VALUE!</v>
      </c>
      <c r="N346" s="21" t="n">
        <f aca="false">IF(N$323&lt;$I346,SUM(N$218:N$219)*N246+IF(AND(INDEX(#REF!,,N$8)&gt;=$G346,INDEX(#REF!,,N$8)&lt;=$I346),N$220,),0)</f>
        <v>0</v>
      </c>
      <c r="O346" s="21" t="e">
        <f aca="false">IF(O$323&lt;$I346,SUM(O$218:O$219)*O246+IF(AND(INDEX(#REF!,,O$8)&gt;=$G346,INDEX(#REF!,,O$8)&lt;=$I346),O$220,),0)</f>
        <v>#VALUE!</v>
      </c>
      <c r="P346" s="21" t="e">
        <f aca="false">IF(P$323&lt;$I346,SUM(P$218:P$219)*P246+IF(AND(INDEX(#REF!,,P$8)&gt;=$G346,INDEX(#REF!,,P$8)&lt;=$I346),P$220,),0)</f>
        <v>#VALUE!</v>
      </c>
    </row>
    <row r="347" customFormat="false" ht="13.8" hidden="false" customHeight="false" outlineLevel="0" collapsed="false">
      <c r="B347" s="1"/>
      <c r="C347" s="136"/>
      <c r="E347" s="5" t="n">
        <f aca="false">E346+1</f>
        <v>24</v>
      </c>
      <c r="F347" s="5" t="e">
        <f aca="false">MATCH(G347,#REF!)</f>
        <v>#VALUE!</v>
      </c>
      <c r="G347" s="169" t="n">
        <f aca="false">IF(I346=0,Model_Start_Date,I346+1)</f>
        <v>46357</v>
      </c>
      <c r="H347" s="1"/>
      <c r="I347" s="169" t="n">
        <f aca="false">EOMONTH(G347,0)</f>
        <v>46387</v>
      </c>
      <c r="K347" s="15" t="s">
        <v>12</v>
      </c>
      <c r="L347" s="12"/>
      <c r="M347" s="21" t="e">
        <f aca="false">IF(M$323&lt;$I347,SUM(M$218:M$219)*M247+IF(AND(INDEX(#REF!,,M$8)&gt;=$G347,INDEX(#REF!,,M$8)&lt;=$I347),M$220,),0)</f>
        <v>#VALUE!</v>
      </c>
      <c r="N347" s="21" t="n">
        <f aca="false">IF(N$323&lt;$I347,SUM(N$218:N$219)*N247+IF(AND(INDEX(#REF!,,N$8)&gt;=$G347,INDEX(#REF!,,N$8)&lt;=$I347),N$220,),0)</f>
        <v>0</v>
      </c>
      <c r="O347" s="21" t="e">
        <f aca="false">IF(O$323&lt;$I347,SUM(O$218:O$219)*O247+IF(AND(INDEX(#REF!,,O$8)&gt;=$G347,INDEX(#REF!,,O$8)&lt;=$I347),O$220,),0)</f>
        <v>#VALUE!</v>
      </c>
      <c r="P347" s="21" t="e">
        <f aca="false">IF(P$323&lt;$I347,SUM(P$218:P$219)*P247+IF(AND(INDEX(#REF!,,P$8)&gt;=$G347,INDEX(#REF!,,P$8)&lt;=$I347),P$220,),0)</f>
        <v>#VALUE!</v>
      </c>
    </row>
    <row r="348" customFormat="false" ht="13.8" hidden="false" customHeight="false" outlineLevel="0" collapsed="false">
      <c r="B348" s="1"/>
      <c r="C348" s="136"/>
      <c r="E348" s="5" t="n">
        <f aca="false">E347+1</f>
        <v>25</v>
      </c>
      <c r="F348" s="5" t="e">
        <f aca="false">MATCH(G348,#REF!)</f>
        <v>#VALUE!</v>
      </c>
      <c r="G348" s="169" t="n">
        <f aca="false">IF(I347=0,Model_Start_Date,I347+1)</f>
        <v>46388</v>
      </c>
      <c r="H348" s="1"/>
      <c r="I348" s="169" t="n">
        <f aca="false">EOMONTH(G348,0)</f>
        <v>46418</v>
      </c>
      <c r="K348" s="15" t="s">
        <v>12</v>
      </c>
      <c r="L348" s="12"/>
      <c r="M348" s="21" t="e">
        <f aca="false">IF(M$323&lt;$I348,SUM(M$218:M$219)*M248+IF(AND(INDEX(#REF!,,M$8)&gt;=$G348,INDEX(#REF!,,M$8)&lt;=$I348),M$220,),0)</f>
        <v>#VALUE!</v>
      </c>
      <c r="N348" s="21" t="n">
        <f aca="false">IF(N$323&lt;$I348,SUM(N$218:N$219)*N248+IF(AND(INDEX(#REF!,,N$8)&gt;=$G348,INDEX(#REF!,,N$8)&lt;=$I348),N$220,),0)</f>
        <v>0</v>
      </c>
      <c r="O348" s="21" t="e">
        <f aca="false">IF(O$323&lt;$I348,SUM(O$218:O$219)*O248+IF(AND(INDEX(#REF!,,O$8)&gt;=$G348,INDEX(#REF!,,O$8)&lt;=$I348),O$220,),0)</f>
        <v>#VALUE!</v>
      </c>
      <c r="P348" s="21" t="e">
        <f aca="false">IF(P$323&lt;$I348,SUM(P$218:P$219)*P248+IF(AND(INDEX(#REF!,,P$8)&gt;=$G348,INDEX(#REF!,,P$8)&lt;=$I348),P$220,),0)</f>
        <v>#VALUE!</v>
      </c>
    </row>
    <row r="349" customFormat="false" ht="13.8" hidden="false" customHeight="false" outlineLevel="0" collapsed="false">
      <c r="B349" s="1"/>
      <c r="C349" s="136"/>
      <c r="E349" s="5" t="n">
        <f aca="false">E348+1</f>
        <v>26</v>
      </c>
      <c r="F349" s="5" t="e">
        <f aca="false">MATCH(G349,#REF!)</f>
        <v>#VALUE!</v>
      </c>
      <c r="G349" s="169" t="n">
        <f aca="false">IF(I348=0,Model_Start_Date,I348+1)</f>
        <v>46419</v>
      </c>
      <c r="H349" s="1"/>
      <c r="I349" s="169" t="n">
        <f aca="false">EOMONTH(G349,0)</f>
        <v>46446</v>
      </c>
      <c r="K349" s="15" t="s">
        <v>12</v>
      </c>
      <c r="L349" s="12"/>
      <c r="M349" s="21" t="e">
        <f aca="false">IF(M$323&lt;$I349,SUM(M$218:M$219)*M249+IF(AND(INDEX(#REF!,,M$8)&gt;=$G349,INDEX(#REF!,,M$8)&lt;=$I349),M$220,),0)</f>
        <v>#VALUE!</v>
      </c>
      <c r="N349" s="21" t="n">
        <f aca="false">IF(N$323&lt;$I349,SUM(N$218:N$219)*N249+IF(AND(INDEX(#REF!,,N$8)&gt;=$G349,INDEX(#REF!,,N$8)&lt;=$I349),N$220,),0)</f>
        <v>0</v>
      </c>
      <c r="O349" s="21" t="e">
        <f aca="false">IF(O$323&lt;$I349,SUM(O$218:O$219)*O249+IF(AND(INDEX(#REF!,,O$8)&gt;=$G349,INDEX(#REF!,,O$8)&lt;=$I349),O$220,),0)</f>
        <v>#VALUE!</v>
      </c>
      <c r="P349" s="21" t="e">
        <f aca="false">IF(P$323&lt;$I349,SUM(P$218:P$219)*P249+IF(AND(INDEX(#REF!,,P$8)&gt;=$G349,INDEX(#REF!,,P$8)&lt;=$I349),P$220,),0)</f>
        <v>#VALUE!</v>
      </c>
    </row>
    <row r="350" customFormat="false" ht="13.8" hidden="false" customHeight="false" outlineLevel="0" collapsed="false">
      <c r="B350" s="1"/>
      <c r="C350" s="136"/>
      <c r="E350" s="5" t="n">
        <f aca="false">E349+1</f>
        <v>27</v>
      </c>
      <c r="F350" s="5" t="e">
        <f aca="false">MATCH(G350,#REF!)</f>
        <v>#VALUE!</v>
      </c>
      <c r="G350" s="169" t="n">
        <f aca="false">IF(I349=0,Model_Start_Date,I349+1)</f>
        <v>46447</v>
      </c>
      <c r="H350" s="1"/>
      <c r="I350" s="169" t="n">
        <f aca="false">EOMONTH(G350,0)</f>
        <v>46477</v>
      </c>
      <c r="K350" s="15" t="s">
        <v>12</v>
      </c>
      <c r="L350" s="12"/>
      <c r="M350" s="21" t="e">
        <f aca="false">IF(M$323&lt;$I350,SUM(M$218:M$219)*M250+IF(AND(INDEX(#REF!,,M$8)&gt;=$G350,INDEX(#REF!,,M$8)&lt;=$I350),M$220,),0)</f>
        <v>#VALUE!</v>
      </c>
      <c r="N350" s="21" t="n">
        <f aca="false">IF(N$323&lt;$I350,SUM(N$218:N$219)*N250+IF(AND(INDEX(#REF!,,N$8)&gt;=$G350,INDEX(#REF!,,N$8)&lt;=$I350),N$220,),0)</f>
        <v>0</v>
      </c>
      <c r="O350" s="21" t="e">
        <f aca="false">IF(O$323&lt;$I350,SUM(O$218:O$219)*O250+IF(AND(INDEX(#REF!,,O$8)&gt;=$G350,INDEX(#REF!,,O$8)&lt;=$I350),O$220,),0)</f>
        <v>#VALUE!</v>
      </c>
      <c r="P350" s="21" t="e">
        <f aca="false">IF(P$323&lt;$I350,SUM(P$218:P$219)*P250+IF(AND(INDEX(#REF!,,P$8)&gt;=$G350,INDEX(#REF!,,P$8)&lt;=$I350),P$220,),0)</f>
        <v>#VALUE!</v>
      </c>
    </row>
    <row r="351" customFormat="false" ht="13.8" hidden="false" customHeight="false" outlineLevel="0" collapsed="false">
      <c r="B351" s="1"/>
      <c r="C351" s="136"/>
      <c r="E351" s="5" t="n">
        <f aca="false">E350+1</f>
        <v>28</v>
      </c>
      <c r="F351" s="5" t="e">
        <f aca="false">MATCH(G351,#REF!)</f>
        <v>#VALUE!</v>
      </c>
      <c r="G351" s="169" t="n">
        <f aca="false">IF(I350=0,Model_Start_Date,I350+1)</f>
        <v>46478</v>
      </c>
      <c r="H351" s="1"/>
      <c r="I351" s="169" t="n">
        <f aca="false">EOMONTH(G351,0)</f>
        <v>46507</v>
      </c>
      <c r="K351" s="15" t="s">
        <v>12</v>
      </c>
      <c r="L351" s="12"/>
      <c r="M351" s="21" t="e">
        <f aca="false">IF(M$323&lt;$I351,SUM(M$218:M$219)*M251+IF(AND(INDEX(#REF!,,M$8)&gt;=$G351,INDEX(#REF!,,M$8)&lt;=$I351),M$220,),0)</f>
        <v>#VALUE!</v>
      </c>
      <c r="N351" s="21" t="n">
        <f aca="false">IF(N$323&lt;$I351,SUM(N$218:N$219)*N251+IF(AND(INDEX(#REF!,,N$8)&gt;=$G351,INDEX(#REF!,,N$8)&lt;=$I351),N$220,),0)</f>
        <v>0</v>
      </c>
      <c r="O351" s="21" t="e">
        <f aca="false">IF(O$323&lt;$I351,SUM(O$218:O$219)*O251+IF(AND(INDEX(#REF!,,O$8)&gt;=$G351,INDEX(#REF!,,O$8)&lt;=$I351),O$220,),0)</f>
        <v>#VALUE!</v>
      </c>
      <c r="P351" s="21" t="e">
        <f aca="false">IF(P$323&lt;$I351,SUM(P$218:P$219)*P251+IF(AND(INDEX(#REF!,,P$8)&gt;=$G351,INDEX(#REF!,,P$8)&lt;=$I351),P$220,),0)</f>
        <v>#VALUE!</v>
      </c>
    </row>
    <row r="352" customFormat="false" ht="13.8" hidden="false" customHeight="false" outlineLevel="0" collapsed="false">
      <c r="B352" s="1"/>
      <c r="C352" s="136"/>
      <c r="E352" s="5" t="n">
        <f aca="false">E351+1</f>
        <v>29</v>
      </c>
      <c r="F352" s="5" t="e">
        <f aca="false">MATCH(G352,#REF!)</f>
        <v>#VALUE!</v>
      </c>
      <c r="G352" s="169" t="n">
        <f aca="false">IF(I351=0,Model_Start_Date,I351+1)</f>
        <v>46508</v>
      </c>
      <c r="H352" s="1"/>
      <c r="I352" s="169" t="n">
        <f aca="false">EOMONTH(G352,0)</f>
        <v>46538</v>
      </c>
      <c r="K352" s="15" t="s">
        <v>12</v>
      </c>
      <c r="L352" s="12"/>
      <c r="M352" s="21" t="e">
        <f aca="false">IF(M$323&lt;$I352,SUM(M$218:M$219)*M252+IF(AND(INDEX(#REF!,,M$8)&gt;=$G352,INDEX(#REF!,,M$8)&lt;=$I352),M$220,),0)</f>
        <v>#VALUE!</v>
      </c>
      <c r="N352" s="21" t="n">
        <f aca="false">IF(N$323&lt;$I352,SUM(N$218:N$219)*N252+IF(AND(INDEX(#REF!,,N$8)&gt;=$G352,INDEX(#REF!,,N$8)&lt;=$I352),N$220,),0)</f>
        <v>0</v>
      </c>
      <c r="O352" s="21" t="e">
        <f aca="false">IF(O$323&lt;$I352,SUM(O$218:O$219)*O252+IF(AND(INDEX(#REF!,,O$8)&gt;=$G352,INDEX(#REF!,,O$8)&lt;=$I352),O$220,),0)</f>
        <v>#VALUE!</v>
      </c>
      <c r="P352" s="21" t="e">
        <f aca="false">IF(P$323&lt;$I352,SUM(P$218:P$219)*P252+IF(AND(INDEX(#REF!,,P$8)&gt;=$G352,INDEX(#REF!,,P$8)&lt;=$I352),P$220,),0)</f>
        <v>#VALUE!</v>
      </c>
    </row>
    <row r="353" customFormat="false" ht="13.8" hidden="false" customHeight="false" outlineLevel="0" collapsed="false">
      <c r="B353" s="1"/>
      <c r="C353" s="136"/>
      <c r="E353" s="5" t="n">
        <f aca="false">E352+1</f>
        <v>30</v>
      </c>
      <c r="F353" s="5" t="e">
        <f aca="false">MATCH(G353,#REF!)</f>
        <v>#VALUE!</v>
      </c>
      <c r="G353" s="169" t="n">
        <f aca="false">IF(I352=0,Model_Start_Date,I352+1)</f>
        <v>46539</v>
      </c>
      <c r="H353" s="1"/>
      <c r="I353" s="169" t="n">
        <f aca="false">EOMONTH(G353,0)</f>
        <v>46568</v>
      </c>
      <c r="K353" s="15" t="s">
        <v>12</v>
      </c>
      <c r="L353" s="12"/>
      <c r="M353" s="21" t="e">
        <f aca="false">IF(M$323&lt;$I353,SUM(M$218:M$219)*M253+IF(AND(INDEX(#REF!,,M$8)&gt;=$G353,INDEX(#REF!,,M$8)&lt;=$I353),M$220,),0)</f>
        <v>#VALUE!</v>
      </c>
      <c r="N353" s="21" t="n">
        <f aca="false">IF(N$323&lt;$I353,SUM(N$218:N$219)*N253+IF(AND(INDEX(#REF!,,N$8)&gt;=$G353,INDEX(#REF!,,N$8)&lt;=$I353),N$220,),0)</f>
        <v>0</v>
      </c>
      <c r="O353" s="21" t="e">
        <f aca="false">IF(O$323&lt;$I353,SUM(O$218:O$219)*O253+IF(AND(INDEX(#REF!,,O$8)&gt;=$G353,INDEX(#REF!,,O$8)&lt;=$I353),O$220,),0)</f>
        <v>#VALUE!</v>
      </c>
      <c r="P353" s="21" t="e">
        <f aca="false">IF(P$323&lt;$I353,SUM(P$218:P$219)*P253+IF(AND(INDEX(#REF!,,P$8)&gt;=$G353,INDEX(#REF!,,P$8)&lt;=$I353),P$220,),0)</f>
        <v>#VALUE!</v>
      </c>
    </row>
    <row r="354" customFormat="false" ht="13.8" hidden="false" customHeight="false" outlineLevel="0" collapsed="false">
      <c r="B354" s="1"/>
      <c r="C354" s="136"/>
      <c r="E354" s="5" t="n">
        <f aca="false">E353+1</f>
        <v>31</v>
      </c>
      <c r="F354" s="5" t="e">
        <f aca="false">MATCH(G354,#REF!)</f>
        <v>#VALUE!</v>
      </c>
      <c r="G354" s="169" t="n">
        <f aca="false">IF(I353=0,Model_Start_Date,I353+1)</f>
        <v>46569</v>
      </c>
      <c r="H354" s="1"/>
      <c r="I354" s="169" t="n">
        <f aca="false">EOMONTH(G354,0)</f>
        <v>46599</v>
      </c>
      <c r="K354" s="15" t="s">
        <v>12</v>
      </c>
      <c r="L354" s="12"/>
      <c r="M354" s="21" t="e">
        <f aca="false">IF(M$323&lt;$I354,SUM(M$218:M$219)*M254+IF(AND(INDEX(#REF!,,M$8)&gt;=$G354,INDEX(#REF!,,M$8)&lt;=$I354),M$220,),0)</f>
        <v>#VALUE!</v>
      </c>
      <c r="N354" s="21" t="n">
        <f aca="false">IF(N$323&lt;$I354,SUM(N$218:N$219)*N254+IF(AND(INDEX(#REF!,,N$8)&gt;=$G354,INDEX(#REF!,,N$8)&lt;=$I354),N$220,),0)</f>
        <v>0</v>
      </c>
      <c r="O354" s="21" t="e">
        <f aca="false">IF(O$323&lt;$I354,SUM(O$218:O$219)*O254+IF(AND(INDEX(#REF!,,O$8)&gt;=$G354,INDEX(#REF!,,O$8)&lt;=$I354),O$220,),0)</f>
        <v>#VALUE!</v>
      </c>
      <c r="P354" s="21" t="e">
        <f aca="false">IF(P$323&lt;$I354,SUM(P$218:P$219)*P254+IF(AND(INDEX(#REF!,,P$8)&gt;=$G354,INDEX(#REF!,,P$8)&lt;=$I354),P$220,),0)</f>
        <v>#VALUE!</v>
      </c>
    </row>
    <row r="355" customFormat="false" ht="13.8" hidden="false" customHeight="false" outlineLevel="0" collapsed="false">
      <c r="B355" s="1"/>
      <c r="C355" s="136"/>
      <c r="E355" s="5" t="n">
        <f aca="false">E354+1</f>
        <v>32</v>
      </c>
      <c r="F355" s="5" t="e">
        <f aca="false">MATCH(G355,#REF!)</f>
        <v>#VALUE!</v>
      </c>
      <c r="G355" s="169" t="n">
        <f aca="false">IF(I354=0,Model_Start_Date,I354+1)</f>
        <v>46600</v>
      </c>
      <c r="H355" s="1"/>
      <c r="I355" s="169" t="n">
        <f aca="false">EOMONTH(G355,0)</f>
        <v>46630</v>
      </c>
      <c r="K355" s="15" t="s">
        <v>12</v>
      </c>
      <c r="L355" s="12"/>
      <c r="M355" s="21" t="e">
        <f aca="false">IF(M$323&lt;$I355,SUM(M$218:M$219)*M255+IF(AND(INDEX(#REF!,,M$8)&gt;=$G355,INDEX(#REF!,,M$8)&lt;=$I355),M$220,),0)</f>
        <v>#VALUE!</v>
      </c>
      <c r="N355" s="21" t="n">
        <f aca="false">IF(N$323&lt;$I355,SUM(N$218:N$219)*N255+IF(AND(INDEX(#REF!,,N$8)&gt;=$G355,INDEX(#REF!,,N$8)&lt;=$I355),N$220,),0)</f>
        <v>0</v>
      </c>
      <c r="O355" s="21" t="e">
        <f aca="false">IF(O$323&lt;$I355,SUM(O$218:O$219)*O255+IF(AND(INDEX(#REF!,,O$8)&gt;=$G355,INDEX(#REF!,,O$8)&lt;=$I355),O$220,),0)</f>
        <v>#VALUE!</v>
      </c>
      <c r="P355" s="21" t="e">
        <f aca="false">IF(P$323&lt;$I355,SUM(P$218:P$219)*P255+IF(AND(INDEX(#REF!,,P$8)&gt;=$G355,INDEX(#REF!,,P$8)&lt;=$I355),P$220,),0)</f>
        <v>#VALUE!</v>
      </c>
    </row>
    <row r="356" customFormat="false" ht="13.8" hidden="false" customHeight="false" outlineLevel="0" collapsed="false">
      <c r="B356" s="1"/>
      <c r="C356" s="136"/>
      <c r="E356" s="5" t="n">
        <f aca="false">E355+1</f>
        <v>33</v>
      </c>
      <c r="F356" s="5" t="e">
        <f aca="false">MATCH(G356,#REF!)</f>
        <v>#VALUE!</v>
      </c>
      <c r="G356" s="169" t="n">
        <f aca="false">IF(I355=0,Model_Start_Date,I355+1)</f>
        <v>46631</v>
      </c>
      <c r="H356" s="1"/>
      <c r="I356" s="169" t="n">
        <f aca="false">EOMONTH(G356,0)</f>
        <v>46660</v>
      </c>
      <c r="K356" s="15" t="s">
        <v>12</v>
      </c>
      <c r="L356" s="12"/>
      <c r="M356" s="21" t="e">
        <f aca="false">IF(M$323&lt;$I356,SUM(M$218:M$219)*M256+IF(AND(INDEX(#REF!,,M$8)&gt;=$G356,INDEX(#REF!,,M$8)&lt;=$I356),M$220,),0)</f>
        <v>#VALUE!</v>
      </c>
      <c r="N356" s="21" t="n">
        <f aca="false">IF(N$323&lt;$I356,SUM(N$218:N$219)*N256+IF(AND(INDEX(#REF!,,N$8)&gt;=$G356,INDEX(#REF!,,N$8)&lt;=$I356),N$220,),0)</f>
        <v>0</v>
      </c>
      <c r="O356" s="21" t="e">
        <f aca="false">IF(O$323&lt;$I356,SUM(O$218:O$219)*O256+IF(AND(INDEX(#REF!,,O$8)&gt;=$G356,INDEX(#REF!,,O$8)&lt;=$I356),O$220,),0)</f>
        <v>#VALUE!</v>
      </c>
      <c r="P356" s="21" t="e">
        <f aca="false">IF(P$323&lt;$I356,SUM(P$218:P$219)*P256+IF(AND(INDEX(#REF!,,P$8)&gt;=$G356,INDEX(#REF!,,P$8)&lt;=$I356),P$220,),0)</f>
        <v>#VALUE!</v>
      </c>
    </row>
    <row r="357" customFormat="false" ht="13.8" hidden="false" customHeight="false" outlineLevel="0" collapsed="false">
      <c r="B357" s="1"/>
      <c r="C357" s="136"/>
      <c r="E357" s="5" t="n">
        <f aca="false">E356+1</f>
        <v>34</v>
      </c>
      <c r="F357" s="5" t="e">
        <f aca="false">MATCH(G357,#REF!)</f>
        <v>#VALUE!</v>
      </c>
      <c r="G357" s="169" t="n">
        <f aca="false">IF(I356=0,Model_Start_Date,I356+1)</f>
        <v>46661</v>
      </c>
      <c r="H357" s="1"/>
      <c r="I357" s="169" t="n">
        <f aca="false">EOMONTH(G357,0)</f>
        <v>46691</v>
      </c>
      <c r="K357" s="15" t="s">
        <v>12</v>
      </c>
      <c r="L357" s="12"/>
      <c r="M357" s="21" t="e">
        <f aca="false">IF(M$323&lt;$I357,SUM(M$218:M$219)*M257+IF(AND(INDEX(#REF!,,M$8)&gt;=$G357,INDEX(#REF!,,M$8)&lt;=$I357),M$220,),0)</f>
        <v>#VALUE!</v>
      </c>
      <c r="N357" s="21" t="n">
        <f aca="false">IF(N$323&lt;$I357,SUM(N$218:N$219)*N257+IF(AND(INDEX(#REF!,,N$8)&gt;=$G357,INDEX(#REF!,,N$8)&lt;=$I357),N$220,),0)</f>
        <v>0</v>
      </c>
      <c r="O357" s="21" t="e">
        <f aca="false">IF(O$323&lt;$I357,SUM(O$218:O$219)*O257+IF(AND(INDEX(#REF!,,O$8)&gt;=$G357,INDEX(#REF!,,O$8)&lt;=$I357),O$220,),0)</f>
        <v>#VALUE!</v>
      </c>
      <c r="P357" s="21" t="e">
        <f aca="false">IF(P$323&lt;$I357,SUM(P$218:P$219)*P257+IF(AND(INDEX(#REF!,,P$8)&gt;=$G357,INDEX(#REF!,,P$8)&lt;=$I357),P$220,),0)</f>
        <v>#VALUE!</v>
      </c>
    </row>
    <row r="358" customFormat="false" ht="13.8" hidden="false" customHeight="false" outlineLevel="0" collapsed="false">
      <c r="B358" s="1"/>
      <c r="C358" s="136"/>
      <c r="E358" s="5" t="n">
        <f aca="false">E357+1</f>
        <v>35</v>
      </c>
      <c r="F358" s="5" t="e">
        <f aca="false">MATCH(G358,#REF!)</f>
        <v>#VALUE!</v>
      </c>
      <c r="G358" s="169" t="n">
        <f aca="false">IF(I357=0,Model_Start_Date,I357+1)</f>
        <v>46692</v>
      </c>
      <c r="H358" s="1"/>
      <c r="I358" s="169" t="n">
        <f aca="false">EOMONTH(G358,0)</f>
        <v>46721</v>
      </c>
      <c r="K358" s="15" t="s">
        <v>12</v>
      </c>
      <c r="L358" s="12"/>
      <c r="M358" s="21" t="e">
        <f aca="false">IF(M$323&lt;$I358,SUM(M$218:M$219)*M258+IF(AND(INDEX(#REF!,,M$8)&gt;=$G358,INDEX(#REF!,,M$8)&lt;=$I358),M$220,),0)</f>
        <v>#VALUE!</v>
      </c>
      <c r="N358" s="21" t="n">
        <f aca="false">IF(N$323&lt;$I358,SUM(N$218:N$219)*N258+IF(AND(INDEX(#REF!,,N$8)&gt;=$G358,INDEX(#REF!,,N$8)&lt;=$I358),N$220,),0)</f>
        <v>0</v>
      </c>
      <c r="O358" s="21" t="e">
        <f aca="false">IF(O$323&lt;$I358,SUM(O$218:O$219)*O258+IF(AND(INDEX(#REF!,,O$8)&gt;=$G358,INDEX(#REF!,,O$8)&lt;=$I358),O$220,),0)</f>
        <v>#VALUE!</v>
      </c>
      <c r="P358" s="21" t="e">
        <f aca="false">IF(P$323&lt;$I358,SUM(P$218:P$219)*P258+IF(AND(INDEX(#REF!,,P$8)&gt;=$G358,INDEX(#REF!,,P$8)&lt;=$I358),P$220,),0)</f>
        <v>#VALUE!</v>
      </c>
    </row>
    <row r="359" customFormat="false" ht="13.8" hidden="false" customHeight="false" outlineLevel="0" collapsed="false">
      <c r="B359" s="1"/>
      <c r="C359" s="136"/>
      <c r="E359" s="5" t="n">
        <f aca="false">E358+1</f>
        <v>36</v>
      </c>
      <c r="F359" s="5" t="e">
        <f aca="false">MATCH(G359,#REF!)</f>
        <v>#VALUE!</v>
      </c>
      <c r="G359" s="169" t="n">
        <f aca="false">IF(I358=0,Model_Start_Date,I358+1)</f>
        <v>46722</v>
      </c>
      <c r="H359" s="1"/>
      <c r="I359" s="169" t="n">
        <f aca="false">EOMONTH(G359,0)</f>
        <v>46752</v>
      </c>
      <c r="K359" s="15" t="s">
        <v>12</v>
      </c>
      <c r="L359" s="12"/>
      <c r="M359" s="21" t="e">
        <f aca="false">IF(M$323&lt;$I359,SUM(M$218:M$219)*M259+IF(AND(INDEX(#REF!,,M$8)&gt;=$G359,INDEX(#REF!,,M$8)&lt;=$I359),M$220,),0)</f>
        <v>#VALUE!</v>
      </c>
      <c r="N359" s="21" t="n">
        <f aca="false">IF(N$323&lt;$I359,SUM(N$218:N$219)*N259+IF(AND(INDEX(#REF!,,N$8)&gt;=$G359,INDEX(#REF!,,N$8)&lt;=$I359),N$220,),0)</f>
        <v>0</v>
      </c>
      <c r="O359" s="21" t="e">
        <f aca="false">IF(O$323&lt;$I359,SUM(O$218:O$219)*O259+IF(AND(INDEX(#REF!,,O$8)&gt;=$G359,INDEX(#REF!,,O$8)&lt;=$I359),O$220,),0)</f>
        <v>#VALUE!</v>
      </c>
      <c r="P359" s="21" t="e">
        <f aca="false">IF(P$323&lt;$I359,SUM(P$218:P$219)*P259+IF(AND(INDEX(#REF!,,P$8)&gt;=$G359,INDEX(#REF!,,P$8)&lt;=$I359),P$220,),0)</f>
        <v>#VALUE!</v>
      </c>
    </row>
    <row r="360" customFormat="false" ht="13.8" hidden="false" customHeight="false" outlineLevel="0" collapsed="false">
      <c r="B360" s="1"/>
      <c r="C360" s="136"/>
      <c r="E360" s="5" t="n">
        <f aca="false">E359+1</f>
        <v>37</v>
      </c>
      <c r="F360" s="5" t="e">
        <f aca="false">MATCH(G360,#REF!)</f>
        <v>#VALUE!</v>
      </c>
      <c r="G360" s="169" t="n">
        <f aca="false">IF(I359=0,Model_Start_Date,I359+1)</f>
        <v>46753</v>
      </c>
      <c r="H360" s="1"/>
      <c r="I360" s="169" t="n">
        <f aca="false">EOMONTH(G360,0)</f>
        <v>46783</v>
      </c>
      <c r="K360" s="15" t="s">
        <v>12</v>
      </c>
      <c r="L360" s="12"/>
      <c r="M360" s="21" t="e">
        <f aca="false">IF(M$323&lt;$I360,SUM(M$218:M$219)*M260+IF(AND(INDEX(#REF!,,M$8)&gt;=$G360,INDEX(#REF!,,M$8)&lt;=$I360),M$220,),0)</f>
        <v>#VALUE!</v>
      </c>
      <c r="N360" s="21" t="n">
        <f aca="false">IF(N$323&lt;$I360,SUM(N$218:N$219)*N260+IF(AND(INDEX(#REF!,,N$8)&gt;=$G360,INDEX(#REF!,,N$8)&lt;=$I360),N$220,),0)</f>
        <v>0</v>
      </c>
      <c r="O360" s="21" t="e">
        <f aca="false">IF(O$323&lt;$I360,SUM(O$218:O$219)*O260+IF(AND(INDEX(#REF!,,O$8)&gt;=$G360,INDEX(#REF!,,O$8)&lt;=$I360),O$220,),0)</f>
        <v>#VALUE!</v>
      </c>
      <c r="P360" s="21" t="e">
        <f aca="false">IF(P$323&lt;$I360,SUM(P$218:P$219)*P260+IF(AND(INDEX(#REF!,,P$8)&gt;=$G360,INDEX(#REF!,,P$8)&lt;=$I360),P$220,),0)</f>
        <v>#VALUE!</v>
      </c>
    </row>
    <row r="361" customFormat="false" ht="13.8" hidden="false" customHeight="false" outlineLevel="0" collapsed="false">
      <c r="B361" s="1"/>
      <c r="C361" s="136"/>
      <c r="E361" s="5" t="n">
        <f aca="false">E360+1</f>
        <v>38</v>
      </c>
      <c r="F361" s="5" t="e">
        <f aca="false">MATCH(G361,#REF!)</f>
        <v>#VALUE!</v>
      </c>
      <c r="G361" s="169" t="n">
        <f aca="false">IF(I360=0,Model_Start_Date,I360+1)</f>
        <v>46784</v>
      </c>
      <c r="H361" s="1"/>
      <c r="I361" s="169" t="n">
        <f aca="false">EOMONTH(G361,0)</f>
        <v>46812</v>
      </c>
      <c r="K361" s="15" t="s">
        <v>12</v>
      </c>
      <c r="L361" s="12"/>
      <c r="M361" s="21" t="e">
        <f aca="false">IF(M$323&lt;$I361,SUM(M$218:M$219)*M261+IF(AND(INDEX(#REF!,,M$8)&gt;=$G361,INDEX(#REF!,,M$8)&lt;=$I361),M$220,),0)</f>
        <v>#VALUE!</v>
      </c>
      <c r="N361" s="21" t="n">
        <f aca="false">IF(N$323&lt;$I361,SUM(N$218:N$219)*N261+IF(AND(INDEX(#REF!,,N$8)&gt;=$G361,INDEX(#REF!,,N$8)&lt;=$I361),N$220,),0)</f>
        <v>0</v>
      </c>
      <c r="O361" s="21" t="e">
        <f aca="false">IF(O$323&lt;$I361,SUM(O$218:O$219)*O261+IF(AND(INDEX(#REF!,,O$8)&gt;=$G361,INDEX(#REF!,,O$8)&lt;=$I361),O$220,),0)</f>
        <v>#VALUE!</v>
      </c>
      <c r="P361" s="21" t="e">
        <f aca="false">IF(P$323&lt;$I361,SUM(P$218:P$219)*P261+IF(AND(INDEX(#REF!,,P$8)&gt;=$G361,INDEX(#REF!,,P$8)&lt;=$I361),P$220,),0)</f>
        <v>#VALUE!</v>
      </c>
    </row>
    <row r="362" customFormat="false" ht="13.8" hidden="false" customHeight="false" outlineLevel="0" collapsed="false">
      <c r="B362" s="1"/>
      <c r="C362" s="136"/>
      <c r="E362" s="5" t="n">
        <f aca="false">E361+1</f>
        <v>39</v>
      </c>
      <c r="F362" s="5" t="e">
        <f aca="false">MATCH(G362,#REF!)</f>
        <v>#VALUE!</v>
      </c>
      <c r="G362" s="169" t="n">
        <f aca="false">IF(I361=0,Model_Start_Date,I361+1)</f>
        <v>46813</v>
      </c>
      <c r="H362" s="1"/>
      <c r="I362" s="169" t="n">
        <f aca="false">EOMONTH(G362,0)</f>
        <v>46843</v>
      </c>
      <c r="K362" s="15" t="s">
        <v>12</v>
      </c>
      <c r="L362" s="12"/>
      <c r="M362" s="21" t="e">
        <f aca="false">IF(M$323&lt;$I362,SUM(M$218:M$219)*M262+IF(AND(INDEX(#REF!,,M$8)&gt;=$G362,INDEX(#REF!,,M$8)&lt;=$I362),M$220,),0)</f>
        <v>#VALUE!</v>
      </c>
      <c r="N362" s="21" t="n">
        <f aca="false">IF(N$323&lt;$I362,SUM(N$218:N$219)*N262+IF(AND(INDEX(#REF!,,N$8)&gt;=$G362,INDEX(#REF!,,N$8)&lt;=$I362),N$220,),0)</f>
        <v>0</v>
      </c>
      <c r="O362" s="21" t="e">
        <f aca="false">IF(O$323&lt;$I362,SUM(O$218:O$219)*O262+IF(AND(INDEX(#REF!,,O$8)&gt;=$G362,INDEX(#REF!,,O$8)&lt;=$I362),O$220,),0)</f>
        <v>#VALUE!</v>
      </c>
      <c r="P362" s="21" t="e">
        <f aca="false">IF(P$323&lt;$I362,SUM(P$218:P$219)*P262+IF(AND(INDEX(#REF!,,P$8)&gt;=$G362,INDEX(#REF!,,P$8)&lt;=$I362),P$220,),0)</f>
        <v>#VALUE!</v>
      </c>
    </row>
    <row r="363" customFormat="false" ht="13.8" hidden="false" customHeight="false" outlineLevel="0" collapsed="false">
      <c r="B363" s="1"/>
      <c r="C363" s="136"/>
      <c r="E363" s="5" t="n">
        <f aca="false">E362+1</f>
        <v>40</v>
      </c>
      <c r="F363" s="5" t="e">
        <f aca="false">MATCH(G363,#REF!)</f>
        <v>#VALUE!</v>
      </c>
      <c r="G363" s="169" t="n">
        <f aca="false">IF(I362=0,Model_Start_Date,I362+1)</f>
        <v>46844</v>
      </c>
      <c r="H363" s="1"/>
      <c r="I363" s="169" t="n">
        <f aca="false">EOMONTH(G363,0)</f>
        <v>46873</v>
      </c>
      <c r="K363" s="15" t="s">
        <v>12</v>
      </c>
      <c r="L363" s="12"/>
      <c r="M363" s="21" t="e">
        <f aca="false">IF(M$323&lt;$I363,SUM(M$218:M$219)*M263+IF(AND(INDEX(#REF!,,M$8)&gt;=$G363,INDEX(#REF!,,M$8)&lt;=$I363),M$220,),0)</f>
        <v>#VALUE!</v>
      </c>
      <c r="N363" s="21" t="n">
        <f aca="false">IF(N$323&lt;$I363,SUM(N$218:N$219)*N263+IF(AND(INDEX(#REF!,,N$8)&gt;=$G363,INDEX(#REF!,,N$8)&lt;=$I363),N$220,),0)</f>
        <v>0</v>
      </c>
      <c r="O363" s="21" t="e">
        <f aca="false">IF(O$323&lt;$I363,SUM(O$218:O$219)*O263+IF(AND(INDEX(#REF!,,O$8)&gt;=$G363,INDEX(#REF!,,O$8)&lt;=$I363),O$220,),0)</f>
        <v>#VALUE!</v>
      </c>
      <c r="P363" s="21" t="e">
        <f aca="false">IF(P$323&lt;$I363,SUM(P$218:P$219)*P263+IF(AND(INDEX(#REF!,,P$8)&gt;=$G363,INDEX(#REF!,,P$8)&lt;=$I363),P$220,),0)</f>
        <v>#VALUE!</v>
      </c>
    </row>
    <row r="364" customFormat="false" ht="13.8" hidden="false" customHeight="false" outlineLevel="0" collapsed="false">
      <c r="B364" s="1"/>
      <c r="C364" s="136"/>
      <c r="E364" s="5" t="n">
        <f aca="false">E363+1</f>
        <v>41</v>
      </c>
      <c r="F364" s="5" t="e">
        <f aca="false">MATCH(G364,#REF!)</f>
        <v>#VALUE!</v>
      </c>
      <c r="G364" s="169" t="n">
        <f aca="false">IF(I363=0,Model_Start_Date,I363+1)</f>
        <v>46874</v>
      </c>
      <c r="H364" s="1"/>
      <c r="I364" s="169" t="n">
        <f aca="false">EOMONTH(G364,0)</f>
        <v>46904</v>
      </c>
      <c r="K364" s="15" t="s">
        <v>12</v>
      </c>
      <c r="L364" s="12"/>
      <c r="M364" s="21" t="e">
        <f aca="false">IF(M$323&lt;$I364,SUM(M$218:M$219)*M264+IF(AND(INDEX(#REF!,,M$8)&gt;=$G364,INDEX(#REF!,,M$8)&lt;=$I364),M$220,),0)</f>
        <v>#VALUE!</v>
      </c>
      <c r="N364" s="21" t="n">
        <f aca="false">IF(N$323&lt;$I364,SUM(N$218:N$219)*N264+IF(AND(INDEX(#REF!,,N$8)&gt;=$G364,INDEX(#REF!,,N$8)&lt;=$I364),N$220,),0)</f>
        <v>0</v>
      </c>
      <c r="O364" s="21" t="e">
        <f aca="false">IF(O$323&lt;$I364,SUM(O$218:O$219)*O264+IF(AND(INDEX(#REF!,,O$8)&gt;=$G364,INDEX(#REF!,,O$8)&lt;=$I364),O$220,),0)</f>
        <v>#VALUE!</v>
      </c>
      <c r="P364" s="21" t="e">
        <f aca="false">IF(P$323&lt;$I364,SUM(P$218:P$219)*P264+IF(AND(INDEX(#REF!,,P$8)&gt;=$G364,INDEX(#REF!,,P$8)&lt;=$I364),P$220,),0)</f>
        <v>#VALUE!</v>
      </c>
    </row>
    <row r="365" customFormat="false" ht="13.8" hidden="false" customHeight="false" outlineLevel="0" collapsed="false">
      <c r="B365" s="1"/>
      <c r="C365" s="136"/>
      <c r="E365" s="5" t="n">
        <f aca="false">E364+1</f>
        <v>42</v>
      </c>
      <c r="F365" s="5" t="e">
        <f aca="false">MATCH(G365,#REF!)</f>
        <v>#VALUE!</v>
      </c>
      <c r="G365" s="169" t="n">
        <f aca="false">IF(I364=0,Model_Start_Date,I364+1)</f>
        <v>46905</v>
      </c>
      <c r="H365" s="1"/>
      <c r="I365" s="169" t="n">
        <f aca="false">EOMONTH(G365,0)</f>
        <v>46934</v>
      </c>
      <c r="K365" s="15" t="s">
        <v>12</v>
      </c>
      <c r="L365" s="12"/>
      <c r="M365" s="21" t="e">
        <f aca="false">IF(M$323&lt;$I365,SUM(M$218:M$219)*M265+IF(AND(INDEX(#REF!,,M$8)&gt;=$G365,INDEX(#REF!,,M$8)&lt;=$I365),M$220,),0)</f>
        <v>#VALUE!</v>
      </c>
      <c r="N365" s="21" t="n">
        <f aca="false">IF(N$323&lt;$I365,SUM(N$218:N$219)*N265+IF(AND(INDEX(#REF!,,N$8)&gt;=$G365,INDEX(#REF!,,N$8)&lt;=$I365),N$220,),0)</f>
        <v>0</v>
      </c>
      <c r="O365" s="21" t="e">
        <f aca="false">IF(O$323&lt;$I365,SUM(O$218:O$219)*O265+IF(AND(INDEX(#REF!,,O$8)&gt;=$G365,INDEX(#REF!,,O$8)&lt;=$I365),O$220,),0)</f>
        <v>#VALUE!</v>
      </c>
      <c r="P365" s="21" t="e">
        <f aca="false">IF(P$323&lt;$I365,SUM(P$218:P$219)*P265+IF(AND(INDEX(#REF!,,P$8)&gt;=$G365,INDEX(#REF!,,P$8)&lt;=$I365),P$220,),0)</f>
        <v>#VALUE!</v>
      </c>
    </row>
    <row r="366" customFormat="false" ht="13.8" hidden="false" customHeight="false" outlineLevel="0" collapsed="false">
      <c r="B366" s="1"/>
      <c r="C366" s="136"/>
      <c r="E366" s="5" t="n">
        <f aca="false">E365+1</f>
        <v>43</v>
      </c>
      <c r="F366" s="5" t="e">
        <f aca="false">MATCH(G366,#REF!)</f>
        <v>#VALUE!</v>
      </c>
      <c r="G366" s="169" t="n">
        <f aca="false">IF(I365=0,Model_Start_Date,I365+1)</f>
        <v>46935</v>
      </c>
      <c r="H366" s="1"/>
      <c r="I366" s="169" t="n">
        <f aca="false">EOMONTH(G366,0)</f>
        <v>46965</v>
      </c>
      <c r="K366" s="15" t="s">
        <v>12</v>
      </c>
      <c r="L366" s="12"/>
      <c r="M366" s="21" t="e">
        <f aca="false">IF(M$323&lt;$I366,SUM(M$218:M$219)*M266+IF(AND(INDEX(#REF!,,M$8)&gt;=$G366,INDEX(#REF!,,M$8)&lt;=$I366),M$220,),0)</f>
        <v>#VALUE!</v>
      </c>
      <c r="N366" s="21" t="n">
        <f aca="false">IF(N$323&lt;$I366,SUM(N$218:N$219)*N266+IF(AND(INDEX(#REF!,,N$8)&gt;=$G366,INDEX(#REF!,,N$8)&lt;=$I366),N$220,),0)</f>
        <v>0</v>
      </c>
      <c r="O366" s="21" t="e">
        <f aca="false">IF(O$323&lt;$I366,SUM(O$218:O$219)*O266+IF(AND(INDEX(#REF!,,O$8)&gt;=$G366,INDEX(#REF!,,O$8)&lt;=$I366),O$220,),0)</f>
        <v>#VALUE!</v>
      </c>
      <c r="P366" s="21" t="e">
        <f aca="false">IF(P$323&lt;$I366,SUM(P$218:P$219)*P266+IF(AND(INDEX(#REF!,,P$8)&gt;=$G366,INDEX(#REF!,,P$8)&lt;=$I366),P$220,),0)</f>
        <v>#VALUE!</v>
      </c>
    </row>
    <row r="367" customFormat="false" ht="13.8" hidden="false" customHeight="false" outlineLevel="0" collapsed="false">
      <c r="B367" s="1"/>
      <c r="C367" s="136"/>
      <c r="E367" s="5" t="n">
        <f aca="false">E366+1</f>
        <v>44</v>
      </c>
      <c r="F367" s="5" t="e">
        <f aca="false">MATCH(G367,#REF!)</f>
        <v>#VALUE!</v>
      </c>
      <c r="G367" s="169" t="n">
        <f aca="false">IF(I366=0,Model_Start_Date,I366+1)</f>
        <v>46966</v>
      </c>
      <c r="H367" s="1"/>
      <c r="I367" s="169" t="n">
        <f aca="false">EOMONTH(G367,0)</f>
        <v>46996</v>
      </c>
      <c r="K367" s="15" t="s">
        <v>12</v>
      </c>
      <c r="L367" s="12"/>
      <c r="M367" s="21" t="e">
        <f aca="false">IF(M$323&lt;$I367,SUM(M$218:M$219)*M267+IF(AND(INDEX(#REF!,,M$8)&gt;=$G367,INDEX(#REF!,,M$8)&lt;=$I367),M$220,),0)</f>
        <v>#VALUE!</v>
      </c>
      <c r="N367" s="21" t="n">
        <f aca="false">IF(N$323&lt;$I367,SUM(N$218:N$219)*N267+IF(AND(INDEX(#REF!,,N$8)&gt;=$G367,INDEX(#REF!,,N$8)&lt;=$I367),N$220,),0)</f>
        <v>0</v>
      </c>
      <c r="O367" s="21" t="e">
        <f aca="false">IF(O$323&lt;$I367,SUM(O$218:O$219)*O267+IF(AND(INDEX(#REF!,,O$8)&gt;=$G367,INDEX(#REF!,,O$8)&lt;=$I367),O$220,),0)</f>
        <v>#VALUE!</v>
      </c>
      <c r="P367" s="21" t="e">
        <f aca="false">IF(P$323&lt;$I367,SUM(P$218:P$219)*P267+IF(AND(INDEX(#REF!,,P$8)&gt;=$G367,INDEX(#REF!,,P$8)&lt;=$I367),P$220,),0)</f>
        <v>#VALUE!</v>
      </c>
    </row>
    <row r="368" customFormat="false" ht="13.8" hidden="false" customHeight="false" outlineLevel="0" collapsed="false">
      <c r="B368" s="1"/>
      <c r="C368" s="136"/>
      <c r="E368" s="5" t="n">
        <f aca="false">E367+1</f>
        <v>45</v>
      </c>
      <c r="F368" s="5" t="e">
        <f aca="false">MATCH(G368,#REF!)</f>
        <v>#VALUE!</v>
      </c>
      <c r="G368" s="169" t="n">
        <f aca="false">IF(I367=0,Model_Start_Date,I367+1)</f>
        <v>46997</v>
      </c>
      <c r="H368" s="1"/>
      <c r="I368" s="169" t="n">
        <f aca="false">EOMONTH(G368,0)</f>
        <v>47026</v>
      </c>
      <c r="K368" s="15" t="s">
        <v>12</v>
      </c>
      <c r="L368" s="12"/>
      <c r="M368" s="21" t="e">
        <f aca="false">IF(M$323&lt;$I368,SUM(M$218:M$219)*M268+IF(AND(INDEX(#REF!,,M$8)&gt;=$G368,INDEX(#REF!,,M$8)&lt;=$I368),M$220,),0)</f>
        <v>#VALUE!</v>
      </c>
      <c r="N368" s="21" t="n">
        <f aca="false">IF(N$323&lt;$I368,SUM(N$218:N$219)*N268+IF(AND(INDEX(#REF!,,N$8)&gt;=$G368,INDEX(#REF!,,N$8)&lt;=$I368),N$220,),0)</f>
        <v>0</v>
      </c>
      <c r="O368" s="21" t="e">
        <f aca="false">IF(O$323&lt;$I368,SUM(O$218:O$219)*O268+IF(AND(INDEX(#REF!,,O$8)&gt;=$G368,INDEX(#REF!,,O$8)&lt;=$I368),O$220,),0)</f>
        <v>#VALUE!</v>
      </c>
      <c r="P368" s="21" t="e">
        <f aca="false">IF(P$323&lt;$I368,SUM(P$218:P$219)*P268+IF(AND(INDEX(#REF!,,P$8)&gt;=$G368,INDEX(#REF!,,P$8)&lt;=$I368),P$220,),0)</f>
        <v>#VALUE!</v>
      </c>
    </row>
    <row r="369" customFormat="false" ht="13.8" hidden="false" customHeight="false" outlineLevel="0" collapsed="false">
      <c r="B369" s="1"/>
      <c r="C369" s="136"/>
      <c r="E369" s="5" t="n">
        <f aca="false">E368+1</f>
        <v>46</v>
      </c>
      <c r="F369" s="5" t="e">
        <f aca="false">MATCH(G369,#REF!)</f>
        <v>#VALUE!</v>
      </c>
      <c r="G369" s="169" t="n">
        <f aca="false">IF(I368=0,Model_Start_Date,I368+1)</f>
        <v>47027</v>
      </c>
      <c r="H369" s="1"/>
      <c r="I369" s="169" t="n">
        <f aca="false">EOMONTH(G369,0)</f>
        <v>47057</v>
      </c>
      <c r="K369" s="15" t="s">
        <v>12</v>
      </c>
      <c r="L369" s="12"/>
      <c r="M369" s="21" t="e">
        <f aca="false">IF(M$323&lt;$I369,SUM(M$218:M$219)*M269+IF(AND(INDEX(#REF!,,M$8)&gt;=$G369,INDEX(#REF!,,M$8)&lt;=$I369),M$220,),0)</f>
        <v>#VALUE!</v>
      </c>
      <c r="N369" s="21" t="n">
        <f aca="false">IF(N$323&lt;$I369,SUM(N$218:N$219)*N269+IF(AND(INDEX(#REF!,,N$8)&gt;=$G369,INDEX(#REF!,,N$8)&lt;=$I369),N$220,),0)</f>
        <v>0</v>
      </c>
      <c r="O369" s="21" t="e">
        <f aca="false">IF(O$323&lt;$I369,SUM(O$218:O$219)*O269+IF(AND(INDEX(#REF!,,O$8)&gt;=$G369,INDEX(#REF!,,O$8)&lt;=$I369),O$220,),0)</f>
        <v>#VALUE!</v>
      </c>
      <c r="P369" s="21" t="e">
        <f aca="false">IF(P$323&lt;$I369,SUM(P$218:P$219)*P269+IF(AND(INDEX(#REF!,,P$8)&gt;=$G369,INDEX(#REF!,,P$8)&lt;=$I369),P$220,),0)</f>
        <v>#VALUE!</v>
      </c>
    </row>
    <row r="370" customFormat="false" ht="13.8" hidden="false" customHeight="false" outlineLevel="0" collapsed="false">
      <c r="B370" s="1"/>
      <c r="C370" s="136"/>
      <c r="E370" s="5" t="n">
        <f aca="false">E369+1</f>
        <v>47</v>
      </c>
      <c r="F370" s="5" t="e">
        <f aca="false">MATCH(G370,#REF!)</f>
        <v>#VALUE!</v>
      </c>
      <c r="G370" s="169" t="n">
        <f aca="false">IF(I369=0,Model_Start_Date,I369+1)</f>
        <v>47058</v>
      </c>
      <c r="H370" s="1"/>
      <c r="I370" s="169" t="n">
        <f aca="false">EOMONTH(G370,0)</f>
        <v>47087</v>
      </c>
      <c r="K370" s="15" t="s">
        <v>12</v>
      </c>
      <c r="L370" s="12"/>
      <c r="M370" s="21" t="e">
        <f aca="false">IF(M$323&lt;$I370,SUM(M$218:M$219)*M270+IF(AND(INDEX(#REF!,,M$8)&gt;=$G370,INDEX(#REF!,,M$8)&lt;=$I370),M$220,),0)</f>
        <v>#VALUE!</v>
      </c>
      <c r="N370" s="21" t="n">
        <f aca="false">IF(N$323&lt;$I370,SUM(N$218:N$219)*N270+IF(AND(INDEX(#REF!,,N$8)&gt;=$G370,INDEX(#REF!,,N$8)&lt;=$I370),N$220,),0)</f>
        <v>0</v>
      </c>
      <c r="O370" s="21" t="e">
        <f aca="false">IF(O$323&lt;$I370,SUM(O$218:O$219)*O270+IF(AND(INDEX(#REF!,,O$8)&gt;=$G370,INDEX(#REF!,,O$8)&lt;=$I370),O$220,),0)</f>
        <v>#VALUE!</v>
      </c>
      <c r="P370" s="21" t="e">
        <f aca="false">IF(P$323&lt;$I370,SUM(P$218:P$219)*P270+IF(AND(INDEX(#REF!,,P$8)&gt;=$G370,INDEX(#REF!,,P$8)&lt;=$I370),P$220,),0)</f>
        <v>#VALUE!</v>
      </c>
    </row>
    <row r="371" customFormat="false" ht="13.8" hidden="false" customHeight="false" outlineLevel="0" collapsed="false">
      <c r="B371" s="1"/>
      <c r="C371" s="136"/>
      <c r="E371" s="5" t="n">
        <f aca="false">E370+1</f>
        <v>48</v>
      </c>
      <c r="F371" s="5" t="e">
        <f aca="false">MATCH(G371,#REF!)</f>
        <v>#VALUE!</v>
      </c>
      <c r="G371" s="169" t="n">
        <f aca="false">IF(I370=0,Model_Start_Date,I370+1)</f>
        <v>47088</v>
      </c>
      <c r="H371" s="1"/>
      <c r="I371" s="169" t="n">
        <f aca="false">EOMONTH(G371,0)</f>
        <v>47118</v>
      </c>
      <c r="K371" s="15" t="s">
        <v>12</v>
      </c>
      <c r="L371" s="12"/>
      <c r="M371" s="21" t="e">
        <f aca="false">IF(M$323&lt;$I371,SUM(M$218:M$219)*M271+IF(AND(INDEX(#REF!,,M$8)&gt;=$G371,INDEX(#REF!,,M$8)&lt;=$I371),M$220,),0)</f>
        <v>#VALUE!</v>
      </c>
      <c r="N371" s="21" t="n">
        <f aca="false">IF(N$323&lt;$I371,SUM(N$218:N$219)*N271+IF(AND(INDEX(#REF!,,N$8)&gt;=$G371,INDEX(#REF!,,N$8)&lt;=$I371),N$220,),0)</f>
        <v>0</v>
      </c>
      <c r="O371" s="21" t="e">
        <f aca="false">IF(O$323&lt;$I371,SUM(O$218:O$219)*O271+IF(AND(INDEX(#REF!,,O$8)&gt;=$G371,INDEX(#REF!,,O$8)&lt;=$I371),O$220,),0)</f>
        <v>#VALUE!</v>
      </c>
      <c r="P371" s="21" t="e">
        <f aca="false">IF(P$323&lt;$I371,SUM(P$218:P$219)*P271+IF(AND(INDEX(#REF!,,P$8)&gt;=$G371,INDEX(#REF!,,P$8)&lt;=$I371),P$220,),0)</f>
        <v>#VALUE!</v>
      </c>
    </row>
    <row r="372" customFormat="false" ht="13.8" hidden="false" customHeight="false" outlineLevel="0" collapsed="false">
      <c r="B372" s="1"/>
      <c r="C372" s="136"/>
      <c r="E372" s="5" t="n">
        <f aca="false">E371+1</f>
        <v>49</v>
      </c>
      <c r="F372" s="5" t="e">
        <f aca="false">MATCH(G372,#REF!)</f>
        <v>#VALUE!</v>
      </c>
      <c r="G372" s="169" t="n">
        <f aca="false">IF(I371=0,Model_Start_Date,I371+1)</f>
        <v>47119</v>
      </c>
      <c r="H372" s="1"/>
      <c r="I372" s="169" t="n">
        <f aca="false">EOMONTH(G372,0)</f>
        <v>47149</v>
      </c>
      <c r="K372" s="15" t="s">
        <v>12</v>
      </c>
      <c r="L372" s="12"/>
      <c r="M372" s="21" t="e">
        <f aca="false">IF(M$323&lt;$I372,SUM(M$218:M$219)*M272+IF(AND(INDEX(#REF!,,M$8)&gt;=$G372,INDEX(#REF!,,M$8)&lt;=$I372),M$220,),0)</f>
        <v>#VALUE!</v>
      </c>
      <c r="N372" s="21" t="n">
        <f aca="false">IF(N$323&lt;$I372,SUM(N$218:N$219)*N272+IF(AND(INDEX(#REF!,,N$8)&gt;=$G372,INDEX(#REF!,,N$8)&lt;=$I372),N$220,),0)</f>
        <v>0</v>
      </c>
      <c r="O372" s="21" t="e">
        <f aca="false">IF(O$323&lt;$I372,SUM(O$218:O$219)*O272+IF(AND(INDEX(#REF!,,O$8)&gt;=$G372,INDEX(#REF!,,O$8)&lt;=$I372),O$220,),0)</f>
        <v>#VALUE!</v>
      </c>
      <c r="P372" s="21" t="e">
        <f aca="false">IF(P$323&lt;$I372,SUM(P$218:P$219)*P272+IF(AND(INDEX(#REF!,,P$8)&gt;=$G372,INDEX(#REF!,,P$8)&lt;=$I372),P$220,),0)</f>
        <v>#VALUE!</v>
      </c>
    </row>
    <row r="373" customFormat="false" ht="13.8" hidden="false" customHeight="false" outlineLevel="0" collapsed="false">
      <c r="B373" s="1"/>
      <c r="C373" s="136"/>
      <c r="E373" s="5" t="n">
        <f aca="false">E372+1</f>
        <v>50</v>
      </c>
      <c r="F373" s="5" t="e">
        <f aca="false">MATCH(G373,#REF!)</f>
        <v>#VALUE!</v>
      </c>
      <c r="G373" s="169" t="n">
        <f aca="false">IF(I372=0,Model_Start_Date,I372+1)</f>
        <v>47150</v>
      </c>
      <c r="H373" s="1"/>
      <c r="I373" s="169" t="n">
        <f aca="false">EOMONTH(G373,0)</f>
        <v>47177</v>
      </c>
      <c r="K373" s="15" t="s">
        <v>12</v>
      </c>
      <c r="L373" s="12"/>
      <c r="M373" s="21" t="e">
        <f aca="false">IF(M$323&lt;$I373,SUM(M$218:M$219)*M273+IF(AND(INDEX(#REF!,,M$8)&gt;=$G373,INDEX(#REF!,,M$8)&lt;=$I373),M$220,),0)</f>
        <v>#VALUE!</v>
      </c>
      <c r="N373" s="21" t="n">
        <f aca="false">IF(N$323&lt;$I373,SUM(N$218:N$219)*N273+IF(AND(INDEX(#REF!,,N$8)&gt;=$G373,INDEX(#REF!,,N$8)&lt;=$I373),N$220,),0)</f>
        <v>0</v>
      </c>
      <c r="O373" s="21" t="e">
        <f aca="false">IF(O$323&lt;$I373,SUM(O$218:O$219)*O273+IF(AND(INDEX(#REF!,,O$8)&gt;=$G373,INDEX(#REF!,,O$8)&lt;=$I373),O$220,),0)</f>
        <v>#VALUE!</v>
      </c>
      <c r="P373" s="21" t="e">
        <f aca="false">IF(P$323&lt;$I373,SUM(P$218:P$219)*P273+IF(AND(INDEX(#REF!,,P$8)&gt;=$G373,INDEX(#REF!,,P$8)&lt;=$I373),P$220,),0)</f>
        <v>#VALUE!</v>
      </c>
    </row>
    <row r="374" customFormat="false" ht="13.8" hidden="false" customHeight="false" outlineLevel="0" collapsed="false">
      <c r="B374" s="1"/>
      <c r="C374" s="136"/>
      <c r="E374" s="5" t="n">
        <f aca="false">E373+1</f>
        <v>51</v>
      </c>
      <c r="F374" s="5" t="e">
        <f aca="false">MATCH(G374,#REF!)</f>
        <v>#VALUE!</v>
      </c>
      <c r="G374" s="169" t="n">
        <f aca="false">IF(I373=0,Model_Start_Date,I373+1)</f>
        <v>47178</v>
      </c>
      <c r="H374" s="1"/>
      <c r="I374" s="169" t="n">
        <f aca="false">EOMONTH(G374,0)</f>
        <v>47208</v>
      </c>
      <c r="K374" s="15" t="s">
        <v>12</v>
      </c>
      <c r="L374" s="12"/>
      <c r="M374" s="21" t="e">
        <f aca="false">IF(M$323&lt;$I374,SUM(M$218:M$219)*M274+IF(AND(INDEX(#REF!,,M$8)&gt;=$G374,INDEX(#REF!,,M$8)&lt;=$I374),M$220,),0)</f>
        <v>#VALUE!</v>
      </c>
      <c r="N374" s="21" t="n">
        <f aca="false">IF(N$323&lt;$I374,SUM(N$218:N$219)*N274+IF(AND(INDEX(#REF!,,N$8)&gt;=$G374,INDEX(#REF!,,N$8)&lt;=$I374),N$220,),0)</f>
        <v>0</v>
      </c>
      <c r="O374" s="21" t="e">
        <f aca="false">IF(O$323&lt;$I374,SUM(O$218:O$219)*O274+IF(AND(INDEX(#REF!,,O$8)&gt;=$G374,INDEX(#REF!,,O$8)&lt;=$I374),O$220,),0)</f>
        <v>#VALUE!</v>
      </c>
      <c r="P374" s="21" t="e">
        <f aca="false">IF(P$323&lt;$I374,SUM(P$218:P$219)*P274+IF(AND(INDEX(#REF!,,P$8)&gt;=$G374,INDEX(#REF!,,P$8)&lt;=$I374),P$220,),0)</f>
        <v>#VALUE!</v>
      </c>
    </row>
    <row r="375" customFormat="false" ht="13.8" hidden="false" customHeight="false" outlineLevel="0" collapsed="false">
      <c r="B375" s="1"/>
      <c r="C375" s="136"/>
      <c r="E375" s="5" t="n">
        <f aca="false">E374+1</f>
        <v>52</v>
      </c>
      <c r="F375" s="5" t="e">
        <f aca="false">MATCH(G375,#REF!)</f>
        <v>#VALUE!</v>
      </c>
      <c r="G375" s="169" t="n">
        <f aca="false">IF(I374=0,Model_Start_Date,I374+1)</f>
        <v>47209</v>
      </c>
      <c r="H375" s="1"/>
      <c r="I375" s="169" t="n">
        <f aca="false">EOMONTH(G375,0)</f>
        <v>47238</v>
      </c>
      <c r="K375" s="15" t="s">
        <v>12</v>
      </c>
      <c r="L375" s="12"/>
      <c r="M375" s="21" t="e">
        <f aca="false">IF(M$323&lt;$I375,SUM(M$218:M$219)*M275+IF(AND(INDEX(#REF!,,M$8)&gt;=$G375,INDEX(#REF!,,M$8)&lt;=$I375),M$220,),0)</f>
        <v>#VALUE!</v>
      </c>
      <c r="N375" s="21" t="n">
        <f aca="false">IF(N$323&lt;$I375,SUM(N$218:N$219)*N275+IF(AND(INDEX(#REF!,,N$8)&gt;=$G375,INDEX(#REF!,,N$8)&lt;=$I375),N$220,),0)</f>
        <v>0</v>
      </c>
      <c r="O375" s="21" t="e">
        <f aca="false">IF(O$323&lt;$I375,SUM(O$218:O$219)*O275+IF(AND(INDEX(#REF!,,O$8)&gt;=$G375,INDEX(#REF!,,O$8)&lt;=$I375),O$220,),0)</f>
        <v>#VALUE!</v>
      </c>
      <c r="P375" s="21" t="e">
        <f aca="false">IF(P$323&lt;$I375,SUM(P$218:P$219)*P275+IF(AND(INDEX(#REF!,,P$8)&gt;=$G375,INDEX(#REF!,,P$8)&lt;=$I375),P$220,),0)</f>
        <v>#VALUE!</v>
      </c>
    </row>
    <row r="376" customFormat="false" ht="13.8" hidden="false" customHeight="false" outlineLevel="0" collapsed="false">
      <c r="B376" s="1"/>
      <c r="C376" s="136"/>
      <c r="E376" s="5" t="n">
        <f aca="false">E375+1</f>
        <v>53</v>
      </c>
      <c r="F376" s="5" t="e">
        <f aca="false">MATCH(G376,#REF!)</f>
        <v>#VALUE!</v>
      </c>
      <c r="G376" s="169" t="n">
        <f aca="false">IF(I375=0,Model_Start_Date,I375+1)</f>
        <v>47239</v>
      </c>
      <c r="H376" s="1"/>
      <c r="I376" s="169" t="n">
        <f aca="false">EOMONTH(G376,0)</f>
        <v>47269</v>
      </c>
      <c r="K376" s="15" t="s">
        <v>12</v>
      </c>
      <c r="L376" s="12"/>
      <c r="M376" s="21" t="e">
        <f aca="false">IF(M$323&lt;$I376,SUM(M$218:M$219)*M276+IF(AND(INDEX(#REF!,,M$8)&gt;=$G376,INDEX(#REF!,,M$8)&lt;=$I376),M$220,),0)</f>
        <v>#VALUE!</v>
      </c>
      <c r="N376" s="21" t="n">
        <f aca="false">IF(N$323&lt;$I376,SUM(N$218:N$219)*N276+IF(AND(INDEX(#REF!,,N$8)&gt;=$G376,INDEX(#REF!,,N$8)&lt;=$I376),N$220,),0)</f>
        <v>0</v>
      </c>
      <c r="O376" s="21" t="e">
        <f aca="false">IF(O$323&lt;$I376,SUM(O$218:O$219)*O276+IF(AND(INDEX(#REF!,,O$8)&gt;=$G376,INDEX(#REF!,,O$8)&lt;=$I376),O$220,),0)</f>
        <v>#VALUE!</v>
      </c>
      <c r="P376" s="21" t="e">
        <f aca="false">IF(P$323&lt;$I376,SUM(P$218:P$219)*P276+IF(AND(INDEX(#REF!,,P$8)&gt;=$G376,INDEX(#REF!,,P$8)&lt;=$I376),P$220,),0)</f>
        <v>#VALUE!</v>
      </c>
    </row>
    <row r="377" customFormat="false" ht="13.8" hidden="false" customHeight="false" outlineLevel="0" collapsed="false">
      <c r="B377" s="1"/>
      <c r="C377" s="136"/>
      <c r="E377" s="5" t="n">
        <f aca="false">E376+1</f>
        <v>54</v>
      </c>
      <c r="F377" s="5" t="e">
        <f aca="false">MATCH(G377,#REF!)</f>
        <v>#VALUE!</v>
      </c>
      <c r="G377" s="169" t="n">
        <f aca="false">IF(I376=0,Model_Start_Date,I376+1)</f>
        <v>47270</v>
      </c>
      <c r="H377" s="1"/>
      <c r="I377" s="169" t="n">
        <f aca="false">EOMONTH(G377,0)</f>
        <v>47299</v>
      </c>
      <c r="K377" s="15" t="s">
        <v>12</v>
      </c>
      <c r="L377" s="12"/>
      <c r="M377" s="21" t="e">
        <f aca="false">IF(M$323&lt;$I377,SUM(M$218:M$219)*M277+IF(AND(INDEX(#REF!,,M$8)&gt;=$G377,INDEX(#REF!,,M$8)&lt;=$I377),M$220,),0)</f>
        <v>#VALUE!</v>
      </c>
      <c r="N377" s="21" t="n">
        <f aca="false">IF(N$323&lt;$I377,SUM(N$218:N$219)*N277+IF(AND(INDEX(#REF!,,N$8)&gt;=$G377,INDEX(#REF!,,N$8)&lt;=$I377),N$220,),0)</f>
        <v>0</v>
      </c>
      <c r="O377" s="21" t="e">
        <f aca="false">IF(O$323&lt;$I377,SUM(O$218:O$219)*O277+IF(AND(INDEX(#REF!,,O$8)&gt;=$G377,INDEX(#REF!,,O$8)&lt;=$I377),O$220,),0)</f>
        <v>#VALUE!</v>
      </c>
      <c r="P377" s="21" t="e">
        <f aca="false">IF(P$323&lt;$I377,SUM(P$218:P$219)*P277+IF(AND(INDEX(#REF!,,P$8)&gt;=$G377,INDEX(#REF!,,P$8)&lt;=$I377),P$220,),0)</f>
        <v>#VALUE!</v>
      </c>
    </row>
    <row r="378" customFormat="false" ht="13.8" hidden="false" customHeight="false" outlineLevel="0" collapsed="false">
      <c r="B378" s="1"/>
      <c r="C378" s="136"/>
      <c r="E378" s="5" t="n">
        <f aca="false">E377+1</f>
        <v>55</v>
      </c>
      <c r="F378" s="5" t="e">
        <f aca="false">MATCH(G378,#REF!)</f>
        <v>#VALUE!</v>
      </c>
      <c r="G378" s="169" t="n">
        <f aca="false">IF(I377=0,Model_Start_Date,I377+1)</f>
        <v>47300</v>
      </c>
      <c r="H378" s="1"/>
      <c r="I378" s="169" t="n">
        <f aca="false">EOMONTH(G378,0)</f>
        <v>47330</v>
      </c>
      <c r="K378" s="15" t="s">
        <v>12</v>
      </c>
      <c r="L378" s="12"/>
      <c r="M378" s="21" t="e">
        <f aca="false">IF(M$323&lt;$I378,SUM(M$218:M$219)*M278+IF(AND(INDEX(#REF!,,M$8)&gt;=$G378,INDEX(#REF!,,M$8)&lt;=$I378),M$220,),0)</f>
        <v>#VALUE!</v>
      </c>
      <c r="N378" s="21" t="n">
        <f aca="false">IF(N$323&lt;$I378,SUM(N$218:N$219)*N278+IF(AND(INDEX(#REF!,,N$8)&gt;=$G378,INDEX(#REF!,,N$8)&lt;=$I378),N$220,),0)</f>
        <v>0</v>
      </c>
      <c r="O378" s="21" t="e">
        <f aca="false">IF(O$323&lt;$I378,SUM(O$218:O$219)*O278+IF(AND(INDEX(#REF!,,O$8)&gt;=$G378,INDEX(#REF!,,O$8)&lt;=$I378),O$220,),0)</f>
        <v>#VALUE!</v>
      </c>
      <c r="P378" s="21" t="e">
        <f aca="false">IF(P$323&lt;$I378,SUM(P$218:P$219)*P278+IF(AND(INDEX(#REF!,,P$8)&gt;=$G378,INDEX(#REF!,,P$8)&lt;=$I378),P$220,),0)</f>
        <v>#VALUE!</v>
      </c>
    </row>
    <row r="379" customFormat="false" ht="13.8" hidden="false" customHeight="false" outlineLevel="0" collapsed="false">
      <c r="B379" s="1"/>
      <c r="C379" s="136"/>
      <c r="E379" s="5" t="n">
        <f aca="false">E378+1</f>
        <v>56</v>
      </c>
      <c r="F379" s="5" t="e">
        <f aca="false">MATCH(G379,#REF!)</f>
        <v>#VALUE!</v>
      </c>
      <c r="G379" s="169" t="n">
        <f aca="false">IF(I378=0,Model_Start_Date,I378+1)</f>
        <v>47331</v>
      </c>
      <c r="H379" s="1"/>
      <c r="I379" s="169" t="n">
        <f aca="false">EOMONTH(G379,0)</f>
        <v>47361</v>
      </c>
      <c r="K379" s="15" t="s">
        <v>12</v>
      </c>
      <c r="L379" s="12"/>
      <c r="M379" s="21" t="e">
        <f aca="false">IF(M$323&lt;$I379,SUM(M$218:M$219)*M279+IF(AND(INDEX(#REF!,,M$8)&gt;=$G379,INDEX(#REF!,,M$8)&lt;=$I379),M$220,),0)</f>
        <v>#VALUE!</v>
      </c>
      <c r="N379" s="21" t="n">
        <f aca="false">IF(N$323&lt;$I379,SUM(N$218:N$219)*N279+IF(AND(INDEX(#REF!,,N$8)&gt;=$G379,INDEX(#REF!,,N$8)&lt;=$I379),N$220,),0)</f>
        <v>0</v>
      </c>
      <c r="O379" s="21" t="e">
        <f aca="false">IF(O$323&lt;$I379,SUM(O$218:O$219)*O279+IF(AND(INDEX(#REF!,,O$8)&gt;=$G379,INDEX(#REF!,,O$8)&lt;=$I379),O$220,),0)</f>
        <v>#VALUE!</v>
      </c>
      <c r="P379" s="21" t="e">
        <f aca="false">IF(P$323&lt;$I379,SUM(P$218:P$219)*P279+IF(AND(INDEX(#REF!,,P$8)&gt;=$G379,INDEX(#REF!,,P$8)&lt;=$I379),P$220,),0)</f>
        <v>#VALUE!</v>
      </c>
    </row>
    <row r="380" customFormat="false" ht="13.8" hidden="false" customHeight="false" outlineLevel="0" collapsed="false">
      <c r="B380" s="1"/>
      <c r="C380" s="136"/>
      <c r="E380" s="5" t="n">
        <f aca="false">E379+1</f>
        <v>57</v>
      </c>
      <c r="F380" s="5" t="e">
        <f aca="false">MATCH(G380,#REF!)</f>
        <v>#VALUE!</v>
      </c>
      <c r="G380" s="169" t="n">
        <f aca="false">IF(I379=0,Model_Start_Date,I379+1)</f>
        <v>47362</v>
      </c>
      <c r="H380" s="1"/>
      <c r="I380" s="169" t="n">
        <f aca="false">EOMONTH(G380,0)</f>
        <v>47391</v>
      </c>
      <c r="K380" s="15" t="s">
        <v>12</v>
      </c>
      <c r="L380" s="12"/>
      <c r="M380" s="21" t="e">
        <f aca="false">IF(M$323&lt;$I380,SUM(M$218:M$219)*M280+IF(AND(INDEX(#REF!,,M$8)&gt;=$G380,INDEX(#REF!,,M$8)&lt;=$I380),M$220,),0)</f>
        <v>#VALUE!</v>
      </c>
      <c r="N380" s="21" t="n">
        <f aca="false">IF(N$323&lt;$I380,SUM(N$218:N$219)*N280+IF(AND(INDEX(#REF!,,N$8)&gt;=$G380,INDEX(#REF!,,N$8)&lt;=$I380),N$220,),0)</f>
        <v>0</v>
      </c>
      <c r="O380" s="21" t="e">
        <f aca="false">IF(O$323&lt;$I380,SUM(O$218:O$219)*O280+IF(AND(INDEX(#REF!,,O$8)&gt;=$G380,INDEX(#REF!,,O$8)&lt;=$I380),O$220,),0)</f>
        <v>#VALUE!</v>
      </c>
      <c r="P380" s="21" t="e">
        <f aca="false">IF(P$323&lt;$I380,SUM(P$218:P$219)*P280+IF(AND(INDEX(#REF!,,P$8)&gt;=$G380,INDEX(#REF!,,P$8)&lt;=$I380),P$220,),0)</f>
        <v>#VALUE!</v>
      </c>
    </row>
    <row r="381" customFormat="false" ht="13.8" hidden="false" customHeight="false" outlineLevel="0" collapsed="false">
      <c r="B381" s="1"/>
      <c r="C381" s="136"/>
      <c r="E381" s="5" t="n">
        <f aca="false">E380+1</f>
        <v>58</v>
      </c>
      <c r="F381" s="5" t="e">
        <f aca="false">MATCH(G381,#REF!)</f>
        <v>#VALUE!</v>
      </c>
      <c r="G381" s="169" t="n">
        <f aca="false">IF(I380=0,Model_Start_Date,I380+1)</f>
        <v>47392</v>
      </c>
      <c r="H381" s="1"/>
      <c r="I381" s="169" t="n">
        <f aca="false">EOMONTH(G381,0)</f>
        <v>47422</v>
      </c>
      <c r="K381" s="15" t="s">
        <v>12</v>
      </c>
      <c r="L381" s="12"/>
      <c r="M381" s="21" t="e">
        <f aca="false">IF(M$323&lt;$I381,SUM(M$218:M$219)*M281+IF(AND(INDEX(#REF!,,M$8)&gt;=$G381,INDEX(#REF!,,M$8)&lt;=$I381),M$220,),0)</f>
        <v>#VALUE!</v>
      </c>
      <c r="N381" s="21" t="n">
        <f aca="false">IF(N$323&lt;$I381,SUM(N$218:N$219)*N281+IF(AND(INDEX(#REF!,,N$8)&gt;=$G381,INDEX(#REF!,,N$8)&lt;=$I381),N$220,),0)</f>
        <v>0</v>
      </c>
      <c r="O381" s="21" t="e">
        <f aca="false">IF(O$323&lt;$I381,SUM(O$218:O$219)*O281+IF(AND(INDEX(#REF!,,O$8)&gt;=$G381,INDEX(#REF!,,O$8)&lt;=$I381),O$220,),0)</f>
        <v>#VALUE!</v>
      </c>
      <c r="P381" s="21" t="e">
        <f aca="false">IF(P$323&lt;$I381,SUM(P$218:P$219)*P281+IF(AND(INDEX(#REF!,,P$8)&gt;=$G381,INDEX(#REF!,,P$8)&lt;=$I381),P$220,),0)</f>
        <v>#VALUE!</v>
      </c>
    </row>
    <row r="382" customFormat="false" ht="13.8" hidden="false" customHeight="false" outlineLevel="0" collapsed="false">
      <c r="B382" s="1"/>
      <c r="C382" s="136"/>
      <c r="E382" s="5" t="n">
        <f aca="false">E381+1</f>
        <v>59</v>
      </c>
      <c r="F382" s="5" t="e">
        <f aca="false">MATCH(G382,#REF!)</f>
        <v>#VALUE!</v>
      </c>
      <c r="G382" s="169" t="n">
        <f aca="false">IF(I381=0,Model_Start_Date,I381+1)</f>
        <v>47423</v>
      </c>
      <c r="H382" s="1"/>
      <c r="I382" s="169" t="n">
        <f aca="false">EOMONTH(G382,0)</f>
        <v>47452</v>
      </c>
      <c r="K382" s="15" t="s">
        <v>12</v>
      </c>
      <c r="L382" s="12"/>
      <c r="M382" s="21" t="e">
        <f aca="false">IF(M$323&lt;$I382,SUM(M$218:M$219)*M282+IF(AND(INDEX(#REF!,,M$8)&gt;=$G382,INDEX(#REF!,,M$8)&lt;=$I382),M$220,),0)</f>
        <v>#VALUE!</v>
      </c>
      <c r="N382" s="21" t="n">
        <f aca="false">IF(N$323&lt;$I382,SUM(N$218:N$219)*N282+IF(AND(INDEX(#REF!,,N$8)&gt;=$G382,INDEX(#REF!,,N$8)&lt;=$I382),N$220,),0)</f>
        <v>0</v>
      </c>
      <c r="O382" s="21" t="e">
        <f aca="false">IF(O$323&lt;$I382,SUM(O$218:O$219)*O282+IF(AND(INDEX(#REF!,,O$8)&gt;=$G382,INDEX(#REF!,,O$8)&lt;=$I382),O$220,),0)</f>
        <v>#VALUE!</v>
      </c>
      <c r="P382" s="21" t="e">
        <f aca="false">IF(P$323&lt;$I382,SUM(P$218:P$219)*P282+IF(AND(INDEX(#REF!,,P$8)&gt;=$G382,INDEX(#REF!,,P$8)&lt;=$I382),P$220,),0)</f>
        <v>#VALUE!</v>
      </c>
    </row>
    <row r="383" customFormat="false" ht="13.8" hidden="false" customHeight="false" outlineLevel="0" collapsed="false">
      <c r="B383" s="1"/>
      <c r="C383" s="136"/>
      <c r="E383" s="5" t="n">
        <f aca="false">E382+1</f>
        <v>60</v>
      </c>
      <c r="F383" s="5" t="e">
        <f aca="false">MATCH(G383,#REF!)</f>
        <v>#VALUE!</v>
      </c>
      <c r="G383" s="169" t="n">
        <f aca="false">IF(I382=0,Model_Start_Date,I382+1)</f>
        <v>47453</v>
      </c>
      <c r="H383" s="1"/>
      <c r="I383" s="169" t="n">
        <f aca="false">EOMONTH(G383,0)</f>
        <v>47483</v>
      </c>
      <c r="K383" s="15" t="s">
        <v>12</v>
      </c>
      <c r="L383" s="12"/>
      <c r="M383" s="21" t="e">
        <f aca="false">IF(M$323&lt;$I383,SUM(M$218:M$219)*M283+IF(AND(INDEX(#REF!,,M$8)&gt;=$G383,INDEX(#REF!,,M$8)&lt;=$I383),M$220,),0)</f>
        <v>#VALUE!</v>
      </c>
      <c r="N383" s="21" t="n">
        <f aca="false">IF(N$323&lt;$I383,SUM(N$218:N$219)*N283+IF(AND(INDEX(#REF!,,N$8)&gt;=$G383,INDEX(#REF!,,N$8)&lt;=$I383),N$220,),0)</f>
        <v>0</v>
      </c>
      <c r="O383" s="21" t="e">
        <f aca="false">IF(O$323&lt;$I383,SUM(O$218:O$219)*O283+IF(AND(INDEX(#REF!,,O$8)&gt;=$G383,INDEX(#REF!,,O$8)&lt;=$I383),O$220,),0)</f>
        <v>#VALUE!</v>
      </c>
      <c r="P383" s="21" t="e">
        <f aca="false">IF(P$323&lt;$I383,SUM(P$218:P$219)*P283+IF(AND(INDEX(#REF!,,P$8)&gt;=$G383,INDEX(#REF!,,P$8)&lt;=$I383),P$220,),0)</f>
        <v>#VALUE!</v>
      </c>
    </row>
    <row r="384" customFormat="false" ht="13.8" hidden="false" customHeight="false" outlineLevel="0" collapsed="false">
      <c r="B384" s="1"/>
      <c r="C384" s="136"/>
      <c r="E384" s="5" t="n">
        <f aca="false">E383+1</f>
        <v>61</v>
      </c>
      <c r="F384" s="5" t="e">
        <f aca="false">MATCH(G384,#REF!)</f>
        <v>#VALUE!</v>
      </c>
      <c r="G384" s="169" t="n">
        <f aca="false">IF(I383=0,Model_Start_Date,I383+1)</f>
        <v>47484</v>
      </c>
      <c r="H384" s="1"/>
      <c r="I384" s="169" t="n">
        <f aca="false">EOMONTH(G384,0)</f>
        <v>47514</v>
      </c>
      <c r="K384" s="15" t="s">
        <v>12</v>
      </c>
      <c r="L384" s="12"/>
      <c r="M384" s="21" t="e">
        <f aca="false">IF(M$323&lt;$I384,SUM(M$218:M$219)*M284+IF(AND(INDEX(#REF!,,M$8)&gt;=$G384,INDEX(#REF!,,M$8)&lt;=$I384),M$220,),0)</f>
        <v>#VALUE!</v>
      </c>
      <c r="N384" s="21" t="n">
        <f aca="false">IF(N$323&lt;$I384,SUM(N$218:N$219)*N284+IF(AND(INDEX(#REF!,,N$8)&gt;=$G384,INDEX(#REF!,,N$8)&lt;=$I384),N$220,),0)</f>
        <v>0</v>
      </c>
      <c r="O384" s="21" t="e">
        <f aca="false">IF(O$323&lt;$I384,SUM(O$218:O$219)*O284+IF(AND(INDEX(#REF!,,O$8)&gt;=$G384,INDEX(#REF!,,O$8)&lt;=$I384),O$220,),0)</f>
        <v>#VALUE!</v>
      </c>
      <c r="P384" s="21" t="e">
        <f aca="false">IF(P$323&lt;$I384,SUM(P$218:P$219)*P284+IF(AND(INDEX(#REF!,,P$8)&gt;=$G384,INDEX(#REF!,,P$8)&lt;=$I384),P$220,),0)</f>
        <v>#VALUE!</v>
      </c>
    </row>
    <row r="385" customFormat="false" ht="13.8" hidden="false" customHeight="false" outlineLevel="0" collapsed="false">
      <c r="B385" s="1"/>
      <c r="C385" s="136"/>
      <c r="E385" s="5" t="n">
        <f aca="false">E384+1</f>
        <v>62</v>
      </c>
      <c r="F385" s="5" t="e">
        <f aca="false">MATCH(G385,#REF!)</f>
        <v>#VALUE!</v>
      </c>
      <c r="G385" s="169" t="n">
        <f aca="false">IF(I384=0,Model_Start_Date,I384+1)</f>
        <v>47515</v>
      </c>
      <c r="H385" s="1"/>
      <c r="I385" s="169" t="n">
        <f aca="false">EOMONTH(G385,0)</f>
        <v>47542</v>
      </c>
      <c r="K385" s="15" t="s">
        <v>12</v>
      </c>
      <c r="L385" s="12"/>
      <c r="M385" s="21" t="e">
        <f aca="false">IF(M$323&lt;$I385,SUM(M$218:M$219)*M285+IF(AND(INDEX(#REF!,,M$8)&gt;=$G385,INDEX(#REF!,,M$8)&lt;=$I385),M$220,),0)</f>
        <v>#VALUE!</v>
      </c>
      <c r="N385" s="21" t="n">
        <f aca="false">IF(N$323&lt;$I385,SUM(N$218:N$219)*N285+IF(AND(INDEX(#REF!,,N$8)&gt;=$G385,INDEX(#REF!,,N$8)&lt;=$I385),N$220,),0)</f>
        <v>0</v>
      </c>
      <c r="O385" s="21" t="e">
        <f aca="false">IF(O$323&lt;$I385,SUM(O$218:O$219)*O285+IF(AND(INDEX(#REF!,,O$8)&gt;=$G385,INDEX(#REF!,,O$8)&lt;=$I385),O$220,),0)</f>
        <v>#VALUE!</v>
      </c>
      <c r="P385" s="21" t="e">
        <f aca="false">IF(P$323&lt;$I385,SUM(P$218:P$219)*P285+IF(AND(INDEX(#REF!,,P$8)&gt;=$G385,INDEX(#REF!,,P$8)&lt;=$I385),P$220,),0)</f>
        <v>#VALUE!</v>
      </c>
    </row>
    <row r="386" customFormat="false" ht="13.8" hidden="false" customHeight="false" outlineLevel="0" collapsed="false">
      <c r="B386" s="1"/>
      <c r="C386" s="136"/>
      <c r="E386" s="5" t="n">
        <f aca="false">E385+1</f>
        <v>63</v>
      </c>
      <c r="F386" s="5" t="e">
        <f aca="false">MATCH(G386,#REF!)</f>
        <v>#VALUE!</v>
      </c>
      <c r="G386" s="169" t="n">
        <f aca="false">IF(I385=0,Model_Start_Date,I385+1)</f>
        <v>47543</v>
      </c>
      <c r="H386" s="1"/>
      <c r="I386" s="169" t="n">
        <f aca="false">EOMONTH(G386,0)</f>
        <v>47573</v>
      </c>
      <c r="K386" s="15" t="s">
        <v>12</v>
      </c>
      <c r="L386" s="12"/>
      <c r="M386" s="21" t="e">
        <f aca="false">IF(M$323&lt;$I386,SUM(M$218:M$219)*M286+IF(AND(INDEX(#REF!,,M$8)&gt;=$G386,INDEX(#REF!,,M$8)&lt;=$I386),M$220,),0)</f>
        <v>#VALUE!</v>
      </c>
      <c r="N386" s="21" t="n">
        <f aca="false">IF(N$323&lt;$I386,SUM(N$218:N$219)*N286+IF(AND(INDEX(#REF!,,N$8)&gt;=$G386,INDEX(#REF!,,N$8)&lt;=$I386),N$220,),0)</f>
        <v>0</v>
      </c>
      <c r="O386" s="21" t="e">
        <f aca="false">IF(O$323&lt;$I386,SUM(O$218:O$219)*O286+IF(AND(INDEX(#REF!,,O$8)&gt;=$G386,INDEX(#REF!,,O$8)&lt;=$I386),O$220,),0)</f>
        <v>#VALUE!</v>
      </c>
      <c r="P386" s="21" t="e">
        <f aca="false">IF(P$323&lt;$I386,SUM(P$218:P$219)*P286+IF(AND(INDEX(#REF!,,P$8)&gt;=$G386,INDEX(#REF!,,P$8)&lt;=$I386),P$220,),0)</f>
        <v>#VALUE!</v>
      </c>
    </row>
    <row r="387" customFormat="false" ht="13.8" hidden="false" customHeight="false" outlineLevel="0" collapsed="false">
      <c r="B387" s="1"/>
      <c r="C387" s="136"/>
      <c r="E387" s="5" t="n">
        <f aca="false">E386+1</f>
        <v>64</v>
      </c>
      <c r="F387" s="5" t="e">
        <f aca="false">MATCH(G387,#REF!)</f>
        <v>#VALUE!</v>
      </c>
      <c r="G387" s="169" t="n">
        <f aca="false">IF(I386=0,Model_Start_Date,I386+1)</f>
        <v>47574</v>
      </c>
      <c r="H387" s="1"/>
      <c r="I387" s="169" t="n">
        <f aca="false">EOMONTH(G387,0)</f>
        <v>47603</v>
      </c>
      <c r="K387" s="15" t="s">
        <v>12</v>
      </c>
      <c r="L387" s="12"/>
      <c r="M387" s="21" t="e">
        <f aca="false">IF(M$323&lt;$I387,SUM(M$218:M$219)*M287+IF(AND(INDEX(#REF!,,M$8)&gt;=$G387,INDEX(#REF!,,M$8)&lt;=$I387),M$220,),0)</f>
        <v>#VALUE!</v>
      </c>
      <c r="N387" s="21" t="n">
        <f aca="false">IF(N$323&lt;$I387,SUM(N$218:N$219)*N287+IF(AND(INDEX(#REF!,,N$8)&gt;=$G387,INDEX(#REF!,,N$8)&lt;=$I387),N$220,),0)</f>
        <v>0</v>
      </c>
      <c r="O387" s="21" t="e">
        <f aca="false">IF(O$323&lt;$I387,SUM(O$218:O$219)*O287+IF(AND(INDEX(#REF!,,O$8)&gt;=$G387,INDEX(#REF!,,O$8)&lt;=$I387),O$220,),0)</f>
        <v>#VALUE!</v>
      </c>
      <c r="P387" s="21" t="e">
        <f aca="false">IF(P$323&lt;$I387,SUM(P$218:P$219)*P287+IF(AND(INDEX(#REF!,,P$8)&gt;=$G387,INDEX(#REF!,,P$8)&lt;=$I387),P$220,),0)</f>
        <v>#VALUE!</v>
      </c>
    </row>
    <row r="388" customFormat="false" ht="13.8" hidden="false" customHeight="false" outlineLevel="0" collapsed="false">
      <c r="B388" s="1"/>
      <c r="C388" s="136"/>
      <c r="E388" s="5" t="n">
        <f aca="false">E387+1</f>
        <v>65</v>
      </c>
      <c r="F388" s="5" t="e">
        <f aca="false">MATCH(G388,#REF!)</f>
        <v>#VALUE!</v>
      </c>
      <c r="G388" s="169" t="n">
        <f aca="false">IF(I387=0,Model_Start_Date,I387+1)</f>
        <v>47604</v>
      </c>
      <c r="H388" s="1"/>
      <c r="I388" s="169" t="n">
        <f aca="false">EOMONTH(G388,0)</f>
        <v>47634</v>
      </c>
      <c r="K388" s="15" t="s">
        <v>12</v>
      </c>
      <c r="L388" s="12"/>
      <c r="M388" s="21" t="e">
        <f aca="false">IF(M$323&lt;$I388,SUM(M$218:M$219)*M288+IF(AND(INDEX(#REF!,,M$8)&gt;=$G388,INDEX(#REF!,,M$8)&lt;=$I388),M$220,),0)</f>
        <v>#VALUE!</v>
      </c>
      <c r="N388" s="21" t="n">
        <f aca="false">IF(N$323&lt;$I388,SUM(N$218:N$219)*N288+IF(AND(INDEX(#REF!,,N$8)&gt;=$G388,INDEX(#REF!,,N$8)&lt;=$I388),N$220,),0)</f>
        <v>0</v>
      </c>
      <c r="O388" s="21" t="e">
        <f aca="false">IF(O$323&lt;$I388,SUM(O$218:O$219)*O288+IF(AND(INDEX(#REF!,,O$8)&gt;=$G388,INDEX(#REF!,,O$8)&lt;=$I388),O$220,),0)</f>
        <v>#VALUE!</v>
      </c>
      <c r="P388" s="21" t="e">
        <f aca="false">IF(P$323&lt;$I388,SUM(P$218:P$219)*P288+IF(AND(INDEX(#REF!,,P$8)&gt;=$G388,INDEX(#REF!,,P$8)&lt;=$I388),P$220,),0)</f>
        <v>#VALUE!</v>
      </c>
    </row>
    <row r="389" customFormat="false" ht="13.8" hidden="false" customHeight="false" outlineLevel="0" collapsed="false">
      <c r="B389" s="1"/>
      <c r="C389" s="136"/>
      <c r="E389" s="5" t="n">
        <f aca="false">E388+1</f>
        <v>66</v>
      </c>
      <c r="F389" s="5" t="e">
        <f aca="false">MATCH(G389,#REF!)</f>
        <v>#VALUE!</v>
      </c>
      <c r="G389" s="169" t="n">
        <f aca="false">IF(I388=0,Model_Start_Date,I388+1)</f>
        <v>47635</v>
      </c>
      <c r="H389" s="1"/>
      <c r="I389" s="169" t="n">
        <f aca="false">EOMONTH(G389,0)</f>
        <v>47664</v>
      </c>
      <c r="K389" s="15" t="s">
        <v>12</v>
      </c>
      <c r="L389" s="12"/>
      <c r="M389" s="21" t="e">
        <f aca="false">IF(M$323&lt;$I389,SUM(M$218:M$219)*M289+IF(AND(INDEX(#REF!,,M$8)&gt;=$G389,INDEX(#REF!,,M$8)&lt;=$I389),M$220,),0)</f>
        <v>#VALUE!</v>
      </c>
      <c r="N389" s="21" t="n">
        <f aca="false">IF(N$323&lt;$I389,SUM(N$218:N$219)*N289+IF(AND(INDEX(#REF!,,N$8)&gt;=$G389,INDEX(#REF!,,N$8)&lt;=$I389),N$220,),0)</f>
        <v>0</v>
      </c>
      <c r="O389" s="21" t="e">
        <f aca="false">IF(O$323&lt;$I389,SUM(O$218:O$219)*O289+IF(AND(INDEX(#REF!,,O$8)&gt;=$G389,INDEX(#REF!,,O$8)&lt;=$I389),O$220,),0)</f>
        <v>#VALUE!</v>
      </c>
      <c r="P389" s="21" t="e">
        <f aca="false">IF(P$323&lt;$I389,SUM(P$218:P$219)*P289+IF(AND(INDEX(#REF!,,P$8)&gt;=$G389,INDEX(#REF!,,P$8)&lt;=$I389),P$220,),0)</f>
        <v>#VALUE!</v>
      </c>
    </row>
    <row r="390" customFormat="false" ht="13.8" hidden="false" customHeight="false" outlineLevel="0" collapsed="false">
      <c r="B390" s="1"/>
      <c r="C390" s="136"/>
      <c r="E390" s="5" t="n">
        <f aca="false">E389+1</f>
        <v>67</v>
      </c>
      <c r="F390" s="5" t="e">
        <f aca="false">MATCH(G390,#REF!)</f>
        <v>#VALUE!</v>
      </c>
      <c r="G390" s="169" t="n">
        <f aca="false">IF(I389=0,Model_Start_Date,I389+1)</f>
        <v>47665</v>
      </c>
      <c r="H390" s="1"/>
      <c r="I390" s="169" t="n">
        <f aca="false">EOMONTH(G390,0)</f>
        <v>47695</v>
      </c>
      <c r="K390" s="15" t="s">
        <v>12</v>
      </c>
      <c r="L390" s="12"/>
      <c r="M390" s="21" t="e">
        <f aca="false">IF(M$323&lt;$I390,SUM(M$218:M$219)*M290+IF(AND(INDEX(#REF!,,M$8)&gt;=$G390,INDEX(#REF!,,M$8)&lt;=$I390),M$220,),0)</f>
        <v>#VALUE!</v>
      </c>
      <c r="N390" s="21" t="n">
        <f aca="false">IF(N$323&lt;$I390,SUM(N$218:N$219)*N290+IF(AND(INDEX(#REF!,,N$8)&gt;=$G390,INDEX(#REF!,,N$8)&lt;=$I390),N$220,),0)</f>
        <v>0</v>
      </c>
      <c r="O390" s="21" t="e">
        <f aca="false">IF(O$323&lt;$I390,SUM(O$218:O$219)*O290+IF(AND(INDEX(#REF!,,O$8)&gt;=$G390,INDEX(#REF!,,O$8)&lt;=$I390),O$220,),0)</f>
        <v>#VALUE!</v>
      </c>
      <c r="P390" s="21" t="e">
        <f aca="false">IF(P$323&lt;$I390,SUM(P$218:P$219)*P290+IF(AND(INDEX(#REF!,,P$8)&gt;=$G390,INDEX(#REF!,,P$8)&lt;=$I390),P$220,),0)</f>
        <v>#VALUE!</v>
      </c>
    </row>
    <row r="391" customFormat="false" ht="13.8" hidden="false" customHeight="false" outlineLevel="0" collapsed="false">
      <c r="B391" s="1"/>
      <c r="C391" s="136"/>
      <c r="E391" s="5" t="n">
        <f aca="false">E390+1</f>
        <v>68</v>
      </c>
      <c r="F391" s="5" t="e">
        <f aca="false">MATCH(G391,#REF!)</f>
        <v>#VALUE!</v>
      </c>
      <c r="G391" s="169" t="n">
        <f aca="false">IF(I390=0,Model_Start_Date,I390+1)</f>
        <v>47696</v>
      </c>
      <c r="H391" s="1"/>
      <c r="I391" s="169" t="n">
        <f aca="false">EOMONTH(G391,0)</f>
        <v>47726</v>
      </c>
      <c r="K391" s="15" t="s">
        <v>12</v>
      </c>
      <c r="L391" s="12"/>
      <c r="M391" s="21" t="e">
        <f aca="false">IF(M$323&lt;$I391,SUM(M$218:M$219)*M291+IF(AND(INDEX(#REF!,,M$8)&gt;=$G391,INDEX(#REF!,,M$8)&lt;=$I391),M$220,),0)</f>
        <v>#VALUE!</v>
      </c>
      <c r="N391" s="21" t="n">
        <f aca="false">IF(N$323&lt;$I391,SUM(N$218:N$219)*N291+IF(AND(INDEX(#REF!,,N$8)&gt;=$G391,INDEX(#REF!,,N$8)&lt;=$I391),N$220,),0)</f>
        <v>0</v>
      </c>
      <c r="O391" s="21" t="e">
        <f aca="false">IF(O$323&lt;$I391,SUM(O$218:O$219)*O291+IF(AND(INDEX(#REF!,,O$8)&gt;=$G391,INDEX(#REF!,,O$8)&lt;=$I391),O$220,),0)</f>
        <v>#VALUE!</v>
      </c>
      <c r="P391" s="21" t="e">
        <f aca="false">IF(P$323&lt;$I391,SUM(P$218:P$219)*P291+IF(AND(INDEX(#REF!,,P$8)&gt;=$G391,INDEX(#REF!,,P$8)&lt;=$I391),P$220,),0)</f>
        <v>#VALUE!</v>
      </c>
    </row>
    <row r="392" customFormat="false" ht="13.8" hidden="false" customHeight="false" outlineLevel="0" collapsed="false">
      <c r="B392" s="1"/>
      <c r="C392" s="136"/>
      <c r="E392" s="5" t="n">
        <f aca="false">E391+1</f>
        <v>69</v>
      </c>
      <c r="F392" s="5" t="e">
        <f aca="false">MATCH(G392,#REF!)</f>
        <v>#VALUE!</v>
      </c>
      <c r="G392" s="169" t="n">
        <f aca="false">IF(I391=0,Model_Start_Date,I391+1)</f>
        <v>47727</v>
      </c>
      <c r="H392" s="1"/>
      <c r="I392" s="169" t="n">
        <f aca="false">EOMONTH(G392,0)</f>
        <v>47756</v>
      </c>
      <c r="K392" s="15" t="s">
        <v>12</v>
      </c>
      <c r="L392" s="12"/>
      <c r="M392" s="21" t="e">
        <f aca="false">IF(M$323&lt;$I392,SUM(M$218:M$219)*M292+IF(AND(INDEX(#REF!,,M$8)&gt;=$G392,INDEX(#REF!,,M$8)&lt;=$I392),M$220,),0)</f>
        <v>#VALUE!</v>
      </c>
      <c r="N392" s="21" t="n">
        <f aca="false">IF(N$323&lt;$I392,SUM(N$218:N$219)*N292+IF(AND(INDEX(#REF!,,N$8)&gt;=$G392,INDEX(#REF!,,N$8)&lt;=$I392),N$220,),0)</f>
        <v>0</v>
      </c>
      <c r="O392" s="21" t="e">
        <f aca="false">IF(O$323&lt;$I392,SUM(O$218:O$219)*O292+IF(AND(INDEX(#REF!,,O$8)&gt;=$G392,INDEX(#REF!,,O$8)&lt;=$I392),O$220,),0)</f>
        <v>#VALUE!</v>
      </c>
      <c r="P392" s="21" t="e">
        <f aca="false">IF(P$323&lt;$I392,SUM(P$218:P$219)*P292+IF(AND(INDEX(#REF!,,P$8)&gt;=$G392,INDEX(#REF!,,P$8)&lt;=$I392),P$220,),0)</f>
        <v>#VALUE!</v>
      </c>
    </row>
    <row r="393" customFormat="false" ht="13.8" hidden="false" customHeight="false" outlineLevel="0" collapsed="false">
      <c r="B393" s="1"/>
      <c r="C393" s="136"/>
      <c r="E393" s="5" t="n">
        <f aca="false">E392+1</f>
        <v>70</v>
      </c>
      <c r="F393" s="5" t="e">
        <f aca="false">MATCH(G393,#REF!)</f>
        <v>#VALUE!</v>
      </c>
      <c r="G393" s="169" t="n">
        <f aca="false">IF(I392=0,Model_Start_Date,I392+1)</f>
        <v>47757</v>
      </c>
      <c r="H393" s="1"/>
      <c r="I393" s="169" t="n">
        <f aca="false">EOMONTH(G393,0)</f>
        <v>47787</v>
      </c>
      <c r="K393" s="15" t="s">
        <v>12</v>
      </c>
      <c r="L393" s="12"/>
      <c r="M393" s="21" t="e">
        <f aca="false">IF(M$323&lt;$I393,SUM(M$218:M$219)*M293+IF(AND(INDEX(#REF!,,M$8)&gt;=$G393,INDEX(#REF!,,M$8)&lt;=$I393),M$220,),0)</f>
        <v>#VALUE!</v>
      </c>
      <c r="N393" s="21" t="n">
        <f aca="false">IF(N$323&lt;$I393,SUM(N$218:N$219)*N293+IF(AND(INDEX(#REF!,,N$8)&gt;=$G393,INDEX(#REF!,,N$8)&lt;=$I393),N$220,),0)</f>
        <v>0</v>
      </c>
      <c r="O393" s="21" t="e">
        <f aca="false">IF(O$323&lt;$I393,SUM(O$218:O$219)*O293+IF(AND(INDEX(#REF!,,O$8)&gt;=$G393,INDEX(#REF!,,O$8)&lt;=$I393),O$220,),0)</f>
        <v>#VALUE!</v>
      </c>
      <c r="P393" s="21" t="e">
        <f aca="false">IF(P$323&lt;$I393,SUM(P$218:P$219)*P293+IF(AND(INDEX(#REF!,,P$8)&gt;=$G393,INDEX(#REF!,,P$8)&lt;=$I393),P$220,),0)</f>
        <v>#VALUE!</v>
      </c>
    </row>
    <row r="394" customFormat="false" ht="13.8" hidden="false" customHeight="false" outlineLevel="0" collapsed="false">
      <c r="B394" s="1"/>
      <c r="C394" s="136"/>
      <c r="E394" s="5" t="n">
        <f aca="false">E393+1</f>
        <v>71</v>
      </c>
      <c r="F394" s="5" t="e">
        <f aca="false">MATCH(G394,#REF!)</f>
        <v>#VALUE!</v>
      </c>
      <c r="G394" s="169" t="n">
        <f aca="false">IF(I393=0,Model_Start_Date,I393+1)</f>
        <v>47788</v>
      </c>
      <c r="H394" s="1"/>
      <c r="I394" s="169" t="n">
        <f aca="false">EOMONTH(G394,0)</f>
        <v>47817</v>
      </c>
      <c r="K394" s="15" t="s">
        <v>12</v>
      </c>
      <c r="L394" s="12"/>
      <c r="M394" s="21" t="e">
        <f aca="false">IF(M$323&lt;$I394,SUM(M$218:M$219)*M294+IF(AND(INDEX(#REF!,,M$8)&gt;=$G394,INDEX(#REF!,,M$8)&lt;=$I394),M$220,),0)</f>
        <v>#VALUE!</v>
      </c>
      <c r="N394" s="21" t="n">
        <f aca="false">IF(N$323&lt;$I394,SUM(N$218:N$219)*N294+IF(AND(INDEX(#REF!,,N$8)&gt;=$G394,INDEX(#REF!,,N$8)&lt;=$I394),N$220,),0)</f>
        <v>0</v>
      </c>
      <c r="O394" s="21" t="e">
        <f aca="false">IF(O$323&lt;$I394,SUM(O$218:O$219)*O294+IF(AND(INDEX(#REF!,,O$8)&gt;=$G394,INDEX(#REF!,,O$8)&lt;=$I394),O$220,),0)</f>
        <v>#VALUE!</v>
      </c>
      <c r="P394" s="21" t="e">
        <f aca="false">IF(P$323&lt;$I394,SUM(P$218:P$219)*P294+IF(AND(INDEX(#REF!,,P$8)&gt;=$G394,INDEX(#REF!,,P$8)&lt;=$I394),P$220,),0)</f>
        <v>#VALUE!</v>
      </c>
    </row>
    <row r="395" customFormat="false" ht="13.8" hidden="false" customHeight="false" outlineLevel="0" collapsed="false">
      <c r="B395" s="1"/>
      <c r="C395" s="136"/>
      <c r="E395" s="5" t="n">
        <f aca="false">E394+1</f>
        <v>72</v>
      </c>
      <c r="F395" s="5" t="e">
        <f aca="false">MATCH(G395,#REF!)</f>
        <v>#VALUE!</v>
      </c>
      <c r="G395" s="169" t="n">
        <f aca="false">IF(I394=0,Model_Start_Date,I394+1)</f>
        <v>47818</v>
      </c>
      <c r="H395" s="1"/>
      <c r="I395" s="169" t="n">
        <f aca="false">EOMONTH(G395,0)</f>
        <v>47848</v>
      </c>
      <c r="K395" s="15" t="s">
        <v>12</v>
      </c>
      <c r="L395" s="12"/>
      <c r="M395" s="21" t="e">
        <f aca="false">IF(M$323&lt;$I395,SUM(M$218:M$219)*M295+IF(AND(INDEX(#REF!,,M$8)&gt;=$G395,INDEX(#REF!,,M$8)&lt;=$I395),M$220,),0)</f>
        <v>#VALUE!</v>
      </c>
      <c r="N395" s="21" t="n">
        <f aca="false">IF(N$323&lt;$I395,SUM(N$218:N$219)*N295+IF(AND(INDEX(#REF!,,N$8)&gt;=$G395,INDEX(#REF!,,N$8)&lt;=$I395),N$220,),0)</f>
        <v>0</v>
      </c>
      <c r="O395" s="21" t="e">
        <f aca="false">IF(O$323&lt;$I395,SUM(O$218:O$219)*O295+IF(AND(INDEX(#REF!,,O$8)&gt;=$G395,INDEX(#REF!,,O$8)&lt;=$I395),O$220,),0)</f>
        <v>#VALUE!</v>
      </c>
      <c r="P395" s="21" t="e">
        <f aca="false">IF(P$323&lt;$I395,SUM(P$218:P$219)*P295+IF(AND(INDEX(#REF!,,P$8)&gt;=$G395,INDEX(#REF!,,P$8)&lt;=$I395),P$220,),0)</f>
        <v>#VALUE!</v>
      </c>
    </row>
    <row r="396" customFormat="false" ht="13.8" hidden="false" customHeight="false" outlineLevel="0" collapsed="false">
      <c r="B396" s="1"/>
      <c r="C396" s="136"/>
      <c r="E396" s="5" t="n">
        <f aca="false">E395+1</f>
        <v>73</v>
      </c>
      <c r="F396" s="5" t="e">
        <f aca="false">MATCH(G396,#REF!)</f>
        <v>#VALUE!</v>
      </c>
      <c r="G396" s="169" t="n">
        <f aca="false">IF(I395=0,Model_Start_Date,I395+1)</f>
        <v>47849</v>
      </c>
      <c r="H396" s="1"/>
      <c r="I396" s="169" t="n">
        <f aca="false">EOMONTH(G396,0)</f>
        <v>47879</v>
      </c>
      <c r="K396" s="15" t="s">
        <v>12</v>
      </c>
      <c r="L396" s="12"/>
      <c r="M396" s="21" t="e">
        <f aca="false">IF(M$323&lt;$I396,SUM(M$218:M$219)*M296+IF(AND(INDEX(#REF!,,M$8)&gt;=$G396,INDEX(#REF!,,M$8)&lt;=$I396),M$220,),0)</f>
        <v>#VALUE!</v>
      </c>
      <c r="N396" s="21" t="n">
        <f aca="false">IF(N$323&lt;$I396,SUM(N$218:N$219)*N296+IF(AND(INDEX(#REF!,,N$8)&gt;=$G396,INDEX(#REF!,,N$8)&lt;=$I396),N$220,),0)</f>
        <v>0</v>
      </c>
      <c r="O396" s="21" t="e">
        <f aca="false">IF(O$323&lt;$I396,SUM(O$218:O$219)*O296+IF(AND(INDEX(#REF!,,O$8)&gt;=$G396,INDEX(#REF!,,O$8)&lt;=$I396),O$220,),0)</f>
        <v>#VALUE!</v>
      </c>
      <c r="P396" s="21" t="e">
        <f aca="false">IF(P$323&lt;$I396,SUM(P$218:P$219)*P296+IF(AND(INDEX(#REF!,,P$8)&gt;=$G396,INDEX(#REF!,,P$8)&lt;=$I396),P$220,),0)</f>
        <v>#VALUE!</v>
      </c>
    </row>
    <row r="397" customFormat="false" ht="13.8" hidden="false" customHeight="false" outlineLevel="0" collapsed="false">
      <c r="B397" s="1"/>
      <c r="C397" s="136"/>
      <c r="E397" s="5" t="n">
        <f aca="false">E396+1</f>
        <v>74</v>
      </c>
      <c r="F397" s="5" t="e">
        <f aca="false">MATCH(G397,#REF!)</f>
        <v>#VALUE!</v>
      </c>
      <c r="G397" s="169" t="n">
        <f aca="false">IF(I396=0,Model_Start_Date,I396+1)</f>
        <v>47880</v>
      </c>
      <c r="H397" s="1"/>
      <c r="I397" s="169" t="n">
        <f aca="false">EOMONTH(G397,0)</f>
        <v>47907</v>
      </c>
      <c r="K397" s="15" t="s">
        <v>12</v>
      </c>
      <c r="L397" s="12"/>
      <c r="M397" s="21" t="e">
        <f aca="false">IF(M$323&lt;$I397,SUM(M$218:M$219)*M297+IF(AND(INDEX(#REF!,,M$8)&gt;=$G397,INDEX(#REF!,,M$8)&lt;=$I397),M$220,),0)</f>
        <v>#VALUE!</v>
      </c>
      <c r="N397" s="21" t="n">
        <f aca="false">IF(N$323&lt;$I397,SUM(N$218:N$219)*N297+IF(AND(INDEX(#REF!,,N$8)&gt;=$G397,INDEX(#REF!,,N$8)&lt;=$I397),N$220,),0)</f>
        <v>0</v>
      </c>
      <c r="O397" s="21" t="e">
        <f aca="false">IF(O$323&lt;$I397,SUM(O$218:O$219)*O297+IF(AND(INDEX(#REF!,,O$8)&gt;=$G397,INDEX(#REF!,,O$8)&lt;=$I397),O$220,),0)</f>
        <v>#VALUE!</v>
      </c>
      <c r="P397" s="21" t="e">
        <f aca="false">IF(P$323&lt;$I397,SUM(P$218:P$219)*P297+IF(AND(INDEX(#REF!,,P$8)&gt;=$G397,INDEX(#REF!,,P$8)&lt;=$I397),P$220,),0)</f>
        <v>#VALUE!</v>
      </c>
    </row>
    <row r="398" customFormat="false" ht="13.8" hidden="false" customHeight="false" outlineLevel="0" collapsed="false">
      <c r="B398" s="1"/>
      <c r="C398" s="136"/>
      <c r="E398" s="5" t="n">
        <f aca="false">E397+1</f>
        <v>75</v>
      </c>
      <c r="F398" s="5" t="e">
        <f aca="false">MATCH(G398,#REF!)</f>
        <v>#VALUE!</v>
      </c>
      <c r="G398" s="169" t="n">
        <f aca="false">IF(I397=0,Model_Start_Date,I397+1)</f>
        <v>47908</v>
      </c>
      <c r="H398" s="1"/>
      <c r="I398" s="169" t="n">
        <f aca="false">EOMONTH(G398,0)</f>
        <v>47938</v>
      </c>
      <c r="K398" s="15" t="s">
        <v>12</v>
      </c>
      <c r="L398" s="12"/>
      <c r="M398" s="21" t="e">
        <f aca="false">IF(M$323&lt;$I398,SUM(M$218:M$219)*M298+IF(AND(INDEX(#REF!,,M$8)&gt;=$G398,INDEX(#REF!,,M$8)&lt;=$I398),M$220,),0)</f>
        <v>#VALUE!</v>
      </c>
      <c r="N398" s="21" t="n">
        <f aca="false">IF(N$323&lt;$I398,SUM(N$218:N$219)*N298+IF(AND(INDEX(#REF!,,N$8)&gt;=$G398,INDEX(#REF!,,N$8)&lt;=$I398),N$220,),0)</f>
        <v>0</v>
      </c>
      <c r="O398" s="21" t="e">
        <f aca="false">IF(O$323&lt;$I398,SUM(O$218:O$219)*O298+IF(AND(INDEX(#REF!,,O$8)&gt;=$G398,INDEX(#REF!,,O$8)&lt;=$I398),O$220,),0)</f>
        <v>#VALUE!</v>
      </c>
      <c r="P398" s="21" t="e">
        <f aca="false">IF(P$323&lt;$I398,SUM(P$218:P$219)*P298+IF(AND(INDEX(#REF!,,P$8)&gt;=$G398,INDEX(#REF!,,P$8)&lt;=$I398),P$220,),0)</f>
        <v>#VALUE!</v>
      </c>
    </row>
    <row r="399" customFormat="false" ht="13.8" hidden="false" customHeight="false" outlineLevel="0" collapsed="false">
      <c r="B399" s="1"/>
      <c r="C399" s="136"/>
      <c r="E399" s="5" t="n">
        <f aca="false">E398+1</f>
        <v>76</v>
      </c>
      <c r="F399" s="5" t="e">
        <f aca="false">MATCH(G399,#REF!)</f>
        <v>#VALUE!</v>
      </c>
      <c r="G399" s="169" t="n">
        <f aca="false">IF(I398=0,Model_Start_Date,I398+1)</f>
        <v>47939</v>
      </c>
      <c r="H399" s="1"/>
      <c r="I399" s="169" t="n">
        <f aca="false">EOMONTH(G399,0)</f>
        <v>47968</v>
      </c>
      <c r="K399" s="15" t="s">
        <v>12</v>
      </c>
      <c r="L399" s="12"/>
      <c r="M399" s="21" t="e">
        <f aca="false">IF(M$323&lt;$I399,SUM(M$218:M$219)*M299+IF(AND(INDEX(#REF!,,M$8)&gt;=$G399,INDEX(#REF!,,M$8)&lt;=$I399),M$220,),0)</f>
        <v>#VALUE!</v>
      </c>
      <c r="N399" s="21" t="n">
        <f aca="false">IF(N$323&lt;$I399,SUM(N$218:N$219)*N299+IF(AND(INDEX(#REF!,,N$8)&gt;=$G399,INDEX(#REF!,,N$8)&lt;=$I399),N$220,),0)</f>
        <v>0</v>
      </c>
      <c r="O399" s="21" t="e">
        <f aca="false">IF(O$323&lt;$I399,SUM(O$218:O$219)*O299+IF(AND(INDEX(#REF!,,O$8)&gt;=$G399,INDEX(#REF!,,O$8)&lt;=$I399),O$220,),0)</f>
        <v>#VALUE!</v>
      </c>
      <c r="P399" s="21" t="e">
        <f aca="false">IF(P$323&lt;$I399,SUM(P$218:P$219)*P299+IF(AND(INDEX(#REF!,,P$8)&gt;=$G399,INDEX(#REF!,,P$8)&lt;=$I399),P$220,),0)</f>
        <v>#VALUE!</v>
      </c>
    </row>
    <row r="400" customFormat="false" ht="13.8" hidden="false" customHeight="false" outlineLevel="0" collapsed="false">
      <c r="B400" s="1"/>
      <c r="C400" s="136"/>
      <c r="E400" s="5" t="n">
        <f aca="false">E399+1</f>
        <v>77</v>
      </c>
      <c r="F400" s="5" t="e">
        <f aca="false">MATCH(G400,#REF!)</f>
        <v>#VALUE!</v>
      </c>
      <c r="G400" s="169" t="n">
        <f aca="false">IF(I399=0,Model_Start_Date,I399+1)</f>
        <v>47969</v>
      </c>
      <c r="H400" s="1"/>
      <c r="I400" s="169" t="n">
        <f aca="false">EOMONTH(G400,0)</f>
        <v>47999</v>
      </c>
      <c r="K400" s="15" t="s">
        <v>12</v>
      </c>
      <c r="L400" s="12"/>
      <c r="M400" s="21" t="e">
        <f aca="false">IF(M$323&lt;$I400,SUM(M$218:M$219)*M300+IF(AND(INDEX(#REF!,,M$8)&gt;=$G400,INDEX(#REF!,,M$8)&lt;=$I400),M$220,),0)</f>
        <v>#VALUE!</v>
      </c>
      <c r="N400" s="21" t="n">
        <f aca="false">IF(N$323&lt;$I400,SUM(N$218:N$219)*N300+IF(AND(INDEX(#REF!,,N$8)&gt;=$G400,INDEX(#REF!,,N$8)&lt;=$I400),N$220,),0)</f>
        <v>0</v>
      </c>
      <c r="O400" s="21" t="e">
        <f aca="false">IF(O$323&lt;$I400,SUM(O$218:O$219)*O300+IF(AND(INDEX(#REF!,,O$8)&gt;=$G400,INDEX(#REF!,,O$8)&lt;=$I400),O$220,),0)</f>
        <v>#VALUE!</v>
      </c>
      <c r="P400" s="21" t="e">
        <f aca="false">IF(P$323&lt;$I400,SUM(P$218:P$219)*P300+IF(AND(INDEX(#REF!,,P$8)&gt;=$G400,INDEX(#REF!,,P$8)&lt;=$I400),P$220,),0)</f>
        <v>#VALUE!</v>
      </c>
    </row>
    <row r="401" customFormat="false" ht="13.8" hidden="false" customHeight="false" outlineLevel="0" collapsed="false">
      <c r="B401" s="1"/>
      <c r="C401" s="136"/>
      <c r="E401" s="5" t="n">
        <f aca="false">E400+1</f>
        <v>78</v>
      </c>
      <c r="F401" s="5" t="e">
        <f aca="false">MATCH(G401,#REF!)</f>
        <v>#VALUE!</v>
      </c>
      <c r="G401" s="169" t="n">
        <f aca="false">IF(I400=0,Model_Start_Date,I400+1)</f>
        <v>48000</v>
      </c>
      <c r="H401" s="1"/>
      <c r="I401" s="169" t="n">
        <f aca="false">EOMONTH(G401,0)</f>
        <v>48029</v>
      </c>
      <c r="K401" s="15" t="s">
        <v>12</v>
      </c>
      <c r="L401" s="12"/>
      <c r="M401" s="21" t="e">
        <f aca="false">IF(M$323&lt;$I401,SUM(M$218:M$219)*M301+IF(AND(INDEX(#REF!,,M$8)&gt;=$G401,INDEX(#REF!,,M$8)&lt;=$I401),M$220,),0)</f>
        <v>#VALUE!</v>
      </c>
      <c r="N401" s="21" t="n">
        <f aca="false">IF(N$323&lt;$I401,SUM(N$218:N$219)*N301+IF(AND(INDEX(#REF!,,N$8)&gt;=$G401,INDEX(#REF!,,N$8)&lt;=$I401),N$220,),0)</f>
        <v>0</v>
      </c>
      <c r="O401" s="21" t="e">
        <f aca="false">IF(O$323&lt;$I401,SUM(O$218:O$219)*O301+IF(AND(INDEX(#REF!,,O$8)&gt;=$G401,INDEX(#REF!,,O$8)&lt;=$I401),O$220,),0)</f>
        <v>#VALUE!</v>
      </c>
      <c r="P401" s="21" t="e">
        <f aca="false">IF(P$323&lt;$I401,SUM(P$218:P$219)*P301+IF(AND(INDEX(#REF!,,P$8)&gt;=$G401,INDEX(#REF!,,P$8)&lt;=$I401),P$220,),0)</f>
        <v>#VALUE!</v>
      </c>
    </row>
    <row r="402" customFormat="false" ht="13.8" hidden="false" customHeight="false" outlineLevel="0" collapsed="false">
      <c r="B402" s="1"/>
      <c r="C402" s="136"/>
      <c r="E402" s="5" t="n">
        <f aca="false">E401+1</f>
        <v>79</v>
      </c>
      <c r="F402" s="5" t="e">
        <f aca="false">MATCH(G402,#REF!)</f>
        <v>#VALUE!</v>
      </c>
      <c r="G402" s="169" t="n">
        <f aca="false">IF(I401=0,Model_Start_Date,I401+1)</f>
        <v>48030</v>
      </c>
      <c r="H402" s="1"/>
      <c r="I402" s="169" t="n">
        <f aca="false">EOMONTH(G402,0)</f>
        <v>48060</v>
      </c>
      <c r="K402" s="15" t="s">
        <v>12</v>
      </c>
      <c r="L402" s="12"/>
      <c r="M402" s="21" t="e">
        <f aca="false">IF(M$323&lt;$I402,SUM(M$218:M$219)*M302+IF(AND(INDEX(#REF!,,M$8)&gt;=$G402,INDEX(#REF!,,M$8)&lt;=$I402),M$220,),0)</f>
        <v>#VALUE!</v>
      </c>
      <c r="N402" s="21" t="n">
        <f aca="false">IF(N$323&lt;$I402,SUM(N$218:N$219)*N302+IF(AND(INDEX(#REF!,,N$8)&gt;=$G402,INDEX(#REF!,,N$8)&lt;=$I402),N$220,),0)</f>
        <v>0</v>
      </c>
      <c r="O402" s="21" t="e">
        <f aca="false">IF(O$323&lt;$I402,SUM(O$218:O$219)*O302+IF(AND(INDEX(#REF!,,O$8)&gt;=$G402,INDEX(#REF!,,O$8)&lt;=$I402),O$220,),0)</f>
        <v>#VALUE!</v>
      </c>
      <c r="P402" s="21" t="e">
        <f aca="false">IF(P$323&lt;$I402,SUM(P$218:P$219)*P302+IF(AND(INDEX(#REF!,,P$8)&gt;=$G402,INDEX(#REF!,,P$8)&lt;=$I402),P$220,),0)</f>
        <v>#VALUE!</v>
      </c>
    </row>
    <row r="403" customFormat="false" ht="13.8" hidden="false" customHeight="false" outlineLevel="0" collapsed="false">
      <c r="B403" s="1"/>
      <c r="C403" s="136"/>
      <c r="E403" s="5" t="n">
        <f aca="false">E402+1</f>
        <v>80</v>
      </c>
      <c r="F403" s="5" t="e">
        <f aca="false">MATCH(G403,#REF!)</f>
        <v>#VALUE!</v>
      </c>
      <c r="G403" s="169" t="n">
        <f aca="false">IF(I402=0,Model_Start_Date,I402+1)</f>
        <v>48061</v>
      </c>
      <c r="H403" s="1"/>
      <c r="I403" s="169" t="n">
        <f aca="false">EOMONTH(G403,0)</f>
        <v>48091</v>
      </c>
      <c r="K403" s="15" t="s">
        <v>12</v>
      </c>
      <c r="L403" s="12"/>
      <c r="M403" s="21" t="e">
        <f aca="false">IF(M$323&lt;$I403,SUM(M$218:M$219)*M303+IF(AND(INDEX(#REF!,,M$8)&gt;=$G403,INDEX(#REF!,,M$8)&lt;=$I403),M$220,),0)</f>
        <v>#VALUE!</v>
      </c>
      <c r="N403" s="21" t="n">
        <f aca="false">IF(N$323&lt;$I403,SUM(N$218:N$219)*N303+IF(AND(INDEX(#REF!,,N$8)&gt;=$G403,INDEX(#REF!,,N$8)&lt;=$I403),N$220,),0)</f>
        <v>0</v>
      </c>
      <c r="O403" s="21" t="e">
        <f aca="false">IF(O$323&lt;$I403,SUM(O$218:O$219)*O303+IF(AND(INDEX(#REF!,,O$8)&gt;=$G403,INDEX(#REF!,,O$8)&lt;=$I403),O$220,),0)</f>
        <v>#VALUE!</v>
      </c>
      <c r="P403" s="21" t="e">
        <f aca="false">IF(P$323&lt;$I403,SUM(P$218:P$219)*P303+IF(AND(INDEX(#REF!,,P$8)&gt;=$G403,INDEX(#REF!,,P$8)&lt;=$I403),P$220,),0)</f>
        <v>#VALUE!</v>
      </c>
    </row>
    <row r="404" customFormat="false" ht="13.8" hidden="false" customHeight="false" outlineLevel="0" collapsed="false">
      <c r="B404" s="1"/>
      <c r="C404" s="136"/>
      <c r="E404" s="5" t="n">
        <f aca="false">E403+1</f>
        <v>81</v>
      </c>
      <c r="F404" s="5" t="e">
        <f aca="false">MATCH(G404,#REF!)</f>
        <v>#VALUE!</v>
      </c>
      <c r="G404" s="169" t="n">
        <f aca="false">IF(I403=0,Model_Start_Date,I403+1)</f>
        <v>48092</v>
      </c>
      <c r="H404" s="1"/>
      <c r="I404" s="169" t="n">
        <f aca="false">EOMONTH(G404,0)</f>
        <v>48121</v>
      </c>
      <c r="K404" s="15" t="s">
        <v>12</v>
      </c>
      <c r="L404" s="12"/>
      <c r="M404" s="21" t="e">
        <f aca="false">IF(M$323&lt;$I404,SUM(M$218:M$219)*M304+IF(AND(INDEX(#REF!,,M$8)&gt;=$G404,INDEX(#REF!,,M$8)&lt;=$I404),M$220,),0)</f>
        <v>#VALUE!</v>
      </c>
      <c r="N404" s="21" t="n">
        <f aca="false">IF(N$323&lt;$I404,SUM(N$218:N$219)*N304+IF(AND(INDEX(#REF!,,N$8)&gt;=$G404,INDEX(#REF!,,N$8)&lt;=$I404),N$220,),0)</f>
        <v>0</v>
      </c>
      <c r="O404" s="21" t="e">
        <f aca="false">IF(O$323&lt;$I404,SUM(O$218:O$219)*O304+IF(AND(INDEX(#REF!,,O$8)&gt;=$G404,INDEX(#REF!,,O$8)&lt;=$I404),O$220,),0)</f>
        <v>#VALUE!</v>
      </c>
      <c r="P404" s="21" t="e">
        <f aca="false">IF(P$323&lt;$I404,SUM(P$218:P$219)*P304+IF(AND(INDEX(#REF!,,P$8)&gt;=$G404,INDEX(#REF!,,P$8)&lt;=$I404),P$220,),0)</f>
        <v>#VALUE!</v>
      </c>
    </row>
    <row r="405" customFormat="false" ht="13.8" hidden="false" customHeight="false" outlineLevel="0" collapsed="false">
      <c r="B405" s="1"/>
      <c r="C405" s="136"/>
      <c r="E405" s="5" t="n">
        <f aca="false">E404+1</f>
        <v>82</v>
      </c>
      <c r="F405" s="5" t="e">
        <f aca="false">MATCH(G405,#REF!)</f>
        <v>#VALUE!</v>
      </c>
      <c r="G405" s="169" t="n">
        <f aca="false">IF(I404=0,Model_Start_Date,I404+1)</f>
        <v>48122</v>
      </c>
      <c r="H405" s="1"/>
      <c r="I405" s="169" t="n">
        <f aca="false">EOMONTH(G405,0)</f>
        <v>48152</v>
      </c>
      <c r="K405" s="15" t="s">
        <v>12</v>
      </c>
      <c r="L405" s="12"/>
      <c r="M405" s="21" t="e">
        <f aca="false">IF(M$323&lt;$I405,SUM(M$218:M$219)*M305+IF(AND(INDEX(#REF!,,M$8)&gt;=$G405,INDEX(#REF!,,M$8)&lt;=$I405),M$220,),0)</f>
        <v>#VALUE!</v>
      </c>
      <c r="N405" s="21" t="n">
        <f aca="false">IF(N$323&lt;$I405,SUM(N$218:N$219)*N305+IF(AND(INDEX(#REF!,,N$8)&gt;=$G405,INDEX(#REF!,,N$8)&lt;=$I405),N$220,),0)</f>
        <v>0</v>
      </c>
      <c r="O405" s="21" t="e">
        <f aca="false">IF(O$323&lt;$I405,SUM(O$218:O$219)*O305+IF(AND(INDEX(#REF!,,O$8)&gt;=$G405,INDEX(#REF!,,O$8)&lt;=$I405),O$220,),0)</f>
        <v>#VALUE!</v>
      </c>
      <c r="P405" s="21" t="e">
        <f aca="false">IF(P$323&lt;$I405,SUM(P$218:P$219)*P305+IF(AND(INDEX(#REF!,,P$8)&gt;=$G405,INDEX(#REF!,,P$8)&lt;=$I405),P$220,),0)</f>
        <v>#VALUE!</v>
      </c>
    </row>
    <row r="406" customFormat="false" ht="13.8" hidden="false" customHeight="false" outlineLevel="0" collapsed="false">
      <c r="B406" s="1"/>
      <c r="C406" s="136"/>
      <c r="E406" s="5" t="n">
        <f aca="false">E405+1</f>
        <v>83</v>
      </c>
      <c r="F406" s="5" t="e">
        <f aca="false">MATCH(G406,#REF!)</f>
        <v>#VALUE!</v>
      </c>
      <c r="G406" s="169" t="n">
        <f aca="false">IF(I405=0,Model_Start_Date,I405+1)</f>
        <v>48153</v>
      </c>
      <c r="H406" s="1"/>
      <c r="I406" s="169" t="n">
        <f aca="false">EOMONTH(G406,0)</f>
        <v>48182</v>
      </c>
      <c r="K406" s="15" t="s">
        <v>12</v>
      </c>
      <c r="L406" s="12"/>
      <c r="M406" s="21" t="e">
        <f aca="false">IF(M$323&lt;$I406,SUM(M$218:M$219)*M306+IF(AND(INDEX(#REF!,,M$8)&gt;=$G406,INDEX(#REF!,,M$8)&lt;=$I406),M$220,),0)</f>
        <v>#VALUE!</v>
      </c>
      <c r="N406" s="21" t="n">
        <f aca="false">IF(N$323&lt;$I406,SUM(N$218:N$219)*N306+IF(AND(INDEX(#REF!,,N$8)&gt;=$G406,INDEX(#REF!,,N$8)&lt;=$I406),N$220,),0)</f>
        <v>0</v>
      </c>
      <c r="O406" s="21" t="e">
        <f aca="false">IF(O$323&lt;$I406,SUM(O$218:O$219)*O306+IF(AND(INDEX(#REF!,,O$8)&gt;=$G406,INDEX(#REF!,,O$8)&lt;=$I406),O$220,),0)</f>
        <v>#VALUE!</v>
      </c>
      <c r="P406" s="21" t="e">
        <f aca="false">IF(P$323&lt;$I406,SUM(P$218:P$219)*P306+IF(AND(INDEX(#REF!,,P$8)&gt;=$G406,INDEX(#REF!,,P$8)&lt;=$I406),P$220,),0)</f>
        <v>#VALUE!</v>
      </c>
    </row>
    <row r="407" customFormat="false" ht="13.8" hidden="false" customHeight="false" outlineLevel="0" collapsed="false">
      <c r="B407" s="1"/>
      <c r="C407" s="136"/>
      <c r="E407" s="5" t="n">
        <f aca="false">E406+1</f>
        <v>84</v>
      </c>
      <c r="F407" s="5" t="e">
        <f aca="false">MATCH(G407,#REF!)</f>
        <v>#VALUE!</v>
      </c>
      <c r="G407" s="169" t="n">
        <f aca="false">IF(I406=0,Model_Start_Date,I406+1)</f>
        <v>48183</v>
      </c>
      <c r="H407" s="1"/>
      <c r="I407" s="169" t="n">
        <f aca="false">EOMONTH(G407,0)</f>
        <v>48213</v>
      </c>
      <c r="K407" s="15" t="s">
        <v>12</v>
      </c>
      <c r="L407" s="12"/>
      <c r="M407" s="21" t="e">
        <f aca="false">IF(M$323&lt;$I407,SUM(M$218:M$219)*M307+IF(AND(INDEX(#REF!,,M$8)&gt;=$G407,INDEX(#REF!,,M$8)&lt;=$I407),M$220,),0)</f>
        <v>#VALUE!</v>
      </c>
      <c r="N407" s="21" t="n">
        <f aca="false">IF(N$323&lt;$I407,SUM(N$218:N$219)*N307+IF(AND(INDEX(#REF!,,N$8)&gt;=$G407,INDEX(#REF!,,N$8)&lt;=$I407),N$220,),0)</f>
        <v>0</v>
      </c>
      <c r="O407" s="21" t="e">
        <f aca="false">IF(O$323&lt;$I407,SUM(O$218:O$219)*O307+IF(AND(INDEX(#REF!,,O$8)&gt;=$G407,INDEX(#REF!,,O$8)&lt;=$I407),O$220,),0)</f>
        <v>#VALUE!</v>
      </c>
      <c r="P407" s="21" t="e">
        <f aca="false">IF(P$323&lt;$I407,SUM(P$218:P$219)*P307+IF(AND(INDEX(#REF!,,P$8)&gt;=$G407,INDEX(#REF!,,P$8)&lt;=$I407),P$220,),0)</f>
        <v>#VALUE!</v>
      </c>
    </row>
    <row r="408" customFormat="false" ht="13.8" hidden="false" customHeight="false" outlineLevel="0" collapsed="false">
      <c r="B408" s="1"/>
      <c r="C408" s="136"/>
      <c r="E408" s="5" t="n">
        <f aca="false">E407+1</f>
        <v>85</v>
      </c>
      <c r="F408" s="5" t="e">
        <f aca="false">MATCH(G408,#REF!)</f>
        <v>#VALUE!</v>
      </c>
      <c r="G408" s="169" t="n">
        <f aca="false">IF(I407=0,Model_Start_Date,I407+1)</f>
        <v>48214</v>
      </c>
      <c r="H408" s="1"/>
      <c r="I408" s="169" t="n">
        <f aca="false">EOMONTH(G408,0)</f>
        <v>48244</v>
      </c>
      <c r="K408" s="15" t="s">
        <v>12</v>
      </c>
      <c r="L408" s="12"/>
      <c r="M408" s="21" t="e">
        <f aca="false">IF(M$323&lt;$I408,SUM(M$218:M$219)*M308+IF(AND(INDEX(#REF!,,M$8)&gt;=$G408,INDEX(#REF!,,M$8)&lt;=$I408),M$220,),0)</f>
        <v>#VALUE!</v>
      </c>
      <c r="N408" s="21" t="n">
        <f aca="false">IF(N$323&lt;$I408,SUM(N$218:N$219)*N308+IF(AND(INDEX(#REF!,,N$8)&gt;=$G408,INDEX(#REF!,,N$8)&lt;=$I408),N$220,),0)</f>
        <v>0</v>
      </c>
      <c r="O408" s="21" t="e">
        <f aca="false">IF(O$323&lt;$I408,SUM(O$218:O$219)*O308+IF(AND(INDEX(#REF!,,O$8)&gt;=$G408,INDEX(#REF!,,O$8)&lt;=$I408),O$220,),0)</f>
        <v>#VALUE!</v>
      </c>
      <c r="P408" s="21" t="e">
        <f aca="false">IF(P$323&lt;$I408,SUM(P$218:P$219)*P308+IF(AND(INDEX(#REF!,,P$8)&gt;=$G408,INDEX(#REF!,,P$8)&lt;=$I408),P$220,),0)</f>
        <v>#VALUE!</v>
      </c>
    </row>
    <row r="409" customFormat="false" ht="13.8" hidden="false" customHeight="false" outlineLevel="0" collapsed="false">
      <c r="B409" s="1"/>
      <c r="C409" s="136"/>
      <c r="E409" s="5" t="n">
        <f aca="false">E408+1</f>
        <v>86</v>
      </c>
      <c r="F409" s="5" t="e">
        <f aca="false">MATCH(G409,#REF!)</f>
        <v>#VALUE!</v>
      </c>
      <c r="G409" s="169" t="n">
        <f aca="false">IF(I408=0,Model_Start_Date,I408+1)</f>
        <v>48245</v>
      </c>
      <c r="H409" s="1"/>
      <c r="I409" s="169" t="n">
        <f aca="false">EOMONTH(G409,0)</f>
        <v>48273</v>
      </c>
      <c r="K409" s="15" t="s">
        <v>12</v>
      </c>
      <c r="L409" s="12"/>
      <c r="M409" s="21" t="e">
        <f aca="false">IF(M$323&lt;$I409,SUM(M$218:M$219)*M309+IF(AND(INDEX(#REF!,,M$8)&gt;=$G409,INDEX(#REF!,,M$8)&lt;=$I409),M$220,),0)</f>
        <v>#VALUE!</v>
      </c>
      <c r="N409" s="21" t="n">
        <f aca="false">IF(N$323&lt;$I409,SUM(N$218:N$219)*N309+IF(AND(INDEX(#REF!,,N$8)&gt;=$G409,INDEX(#REF!,,N$8)&lt;=$I409),N$220,),0)</f>
        <v>0</v>
      </c>
      <c r="O409" s="21" t="e">
        <f aca="false">IF(O$323&lt;$I409,SUM(O$218:O$219)*O309+IF(AND(INDEX(#REF!,,O$8)&gt;=$G409,INDEX(#REF!,,O$8)&lt;=$I409),O$220,),0)</f>
        <v>#VALUE!</v>
      </c>
      <c r="P409" s="21" t="e">
        <f aca="false">IF(P$323&lt;$I409,SUM(P$218:P$219)*P309+IF(AND(INDEX(#REF!,,P$8)&gt;=$G409,INDEX(#REF!,,P$8)&lt;=$I409),P$220,),0)</f>
        <v>#VALUE!</v>
      </c>
    </row>
    <row r="410" customFormat="false" ht="13.8" hidden="false" customHeight="false" outlineLevel="0" collapsed="false">
      <c r="B410" s="1"/>
      <c r="C410" s="136"/>
      <c r="E410" s="5" t="n">
        <f aca="false">E409+1</f>
        <v>87</v>
      </c>
      <c r="F410" s="5" t="e">
        <f aca="false">MATCH(G410,#REF!)</f>
        <v>#VALUE!</v>
      </c>
      <c r="G410" s="169" t="n">
        <f aca="false">IF(I409=0,Model_Start_Date,I409+1)</f>
        <v>48274</v>
      </c>
      <c r="H410" s="1"/>
      <c r="I410" s="169" t="n">
        <f aca="false">EOMONTH(G410,0)</f>
        <v>48304</v>
      </c>
      <c r="K410" s="15" t="s">
        <v>12</v>
      </c>
      <c r="L410" s="12"/>
      <c r="M410" s="21" t="e">
        <f aca="false">IF(M$323&lt;$I410,SUM(M$218:M$219)*M310+IF(AND(INDEX(#REF!,,M$8)&gt;=$G410,INDEX(#REF!,,M$8)&lt;=$I410),M$220,),0)</f>
        <v>#VALUE!</v>
      </c>
      <c r="N410" s="21" t="n">
        <f aca="false">IF(N$323&lt;$I410,SUM(N$218:N$219)*N310+IF(AND(INDEX(#REF!,,N$8)&gt;=$G410,INDEX(#REF!,,N$8)&lt;=$I410),N$220,),0)</f>
        <v>0</v>
      </c>
      <c r="O410" s="21" t="e">
        <f aca="false">IF(O$323&lt;$I410,SUM(O$218:O$219)*O310+IF(AND(INDEX(#REF!,,O$8)&gt;=$G410,INDEX(#REF!,,O$8)&lt;=$I410),O$220,),0)</f>
        <v>#VALUE!</v>
      </c>
      <c r="P410" s="21" t="e">
        <f aca="false">IF(P$323&lt;$I410,SUM(P$218:P$219)*P310+IF(AND(INDEX(#REF!,,P$8)&gt;=$G410,INDEX(#REF!,,P$8)&lt;=$I410),P$220,),0)</f>
        <v>#VALUE!</v>
      </c>
    </row>
    <row r="411" customFormat="false" ht="13.8" hidden="false" customHeight="false" outlineLevel="0" collapsed="false">
      <c r="B411" s="1"/>
      <c r="C411" s="136"/>
      <c r="E411" s="5" t="n">
        <f aca="false">E410+1</f>
        <v>88</v>
      </c>
      <c r="F411" s="5" t="e">
        <f aca="false">MATCH(G411,#REF!)</f>
        <v>#VALUE!</v>
      </c>
      <c r="G411" s="169" t="n">
        <f aca="false">IF(I410=0,Model_Start_Date,I410+1)</f>
        <v>48305</v>
      </c>
      <c r="H411" s="1"/>
      <c r="I411" s="169" t="n">
        <f aca="false">EOMONTH(G411,0)</f>
        <v>48334</v>
      </c>
      <c r="K411" s="15" t="s">
        <v>12</v>
      </c>
      <c r="L411" s="12"/>
      <c r="M411" s="21" t="e">
        <f aca="false">IF(M$323&lt;$I411,SUM(M$218:M$219)*M311+IF(AND(INDEX(#REF!,,M$8)&gt;=$G411,INDEX(#REF!,,M$8)&lt;=$I411),M$220,),0)</f>
        <v>#VALUE!</v>
      </c>
      <c r="N411" s="21" t="n">
        <f aca="false">IF(N$323&lt;$I411,SUM(N$218:N$219)*N311+IF(AND(INDEX(#REF!,,N$8)&gt;=$G411,INDEX(#REF!,,N$8)&lt;=$I411),N$220,),0)</f>
        <v>0</v>
      </c>
      <c r="O411" s="21" t="e">
        <f aca="false">IF(O$323&lt;$I411,SUM(O$218:O$219)*O311+IF(AND(INDEX(#REF!,,O$8)&gt;=$G411,INDEX(#REF!,,O$8)&lt;=$I411),O$220,),0)</f>
        <v>#VALUE!</v>
      </c>
      <c r="P411" s="21" t="e">
        <f aca="false">IF(P$323&lt;$I411,SUM(P$218:P$219)*P311+IF(AND(INDEX(#REF!,,P$8)&gt;=$G411,INDEX(#REF!,,P$8)&lt;=$I411),P$220,),0)</f>
        <v>#VALUE!</v>
      </c>
    </row>
    <row r="412" customFormat="false" ht="13.8" hidden="false" customHeight="false" outlineLevel="0" collapsed="false">
      <c r="B412" s="1"/>
      <c r="C412" s="136"/>
      <c r="E412" s="5" t="n">
        <f aca="false">E411+1</f>
        <v>89</v>
      </c>
      <c r="F412" s="5" t="e">
        <f aca="false">MATCH(G412,#REF!)</f>
        <v>#VALUE!</v>
      </c>
      <c r="G412" s="169" t="n">
        <f aca="false">IF(I411=0,Model_Start_Date,I411+1)</f>
        <v>48335</v>
      </c>
      <c r="H412" s="1"/>
      <c r="I412" s="169" t="n">
        <f aca="false">EOMONTH(G412,0)</f>
        <v>48365</v>
      </c>
      <c r="K412" s="15" t="s">
        <v>12</v>
      </c>
      <c r="L412" s="12"/>
      <c r="M412" s="21" t="e">
        <f aca="false">IF(M$323&lt;$I412,SUM(M$218:M$219)*M312+IF(AND(INDEX(#REF!,,M$8)&gt;=$G412,INDEX(#REF!,,M$8)&lt;=$I412),M$220,),0)</f>
        <v>#VALUE!</v>
      </c>
      <c r="N412" s="21" t="n">
        <f aca="false">IF(N$323&lt;$I412,SUM(N$218:N$219)*N312+IF(AND(INDEX(#REF!,,N$8)&gt;=$G412,INDEX(#REF!,,N$8)&lt;=$I412),N$220,),0)</f>
        <v>0</v>
      </c>
      <c r="O412" s="21" t="e">
        <f aca="false">IF(O$323&lt;$I412,SUM(O$218:O$219)*O312+IF(AND(INDEX(#REF!,,O$8)&gt;=$G412,INDEX(#REF!,,O$8)&lt;=$I412),O$220,),0)</f>
        <v>#VALUE!</v>
      </c>
      <c r="P412" s="21" t="e">
        <f aca="false">IF(P$323&lt;$I412,SUM(P$218:P$219)*P312+IF(AND(INDEX(#REF!,,P$8)&gt;=$G412,INDEX(#REF!,,P$8)&lt;=$I412),P$220,),0)</f>
        <v>#VALUE!</v>
      </c>
    </row>
    <row r="413" customFormat="false" ht="13.8" hidden="false" customHeight="false" outlineLevel="0" collapsed="false">
      <c r="B413" s="1"/>
      <c r="C413" s="136"/>
      <c r="E413" s="5" t="n">
        <f aca="false">E412+1</f>
        <v>90</v>
      </c>
      <c r="F413" s="5" t="e">
        <f aca="false">MATCH(G413,#REF!)</f>
        <v>#VALUE!</v>
      </c>
      <c r="G413" s="169" t="n">
        <f aca="false">IF(I412=0,Model_Start_Date,I412+1)</f>
        <v>48366</v>
      </c>
      <c r="H413" s="1"/>
      <c r="I413" s="169" t="n">
        <f aca="false">EOMONTH(G413,0)</f>
        <v>48395</v>
      </c>
      <c r="K413" s="15" t="s">
        <v>12</v>
      </c>
      <c r="L413" s="12"/>
      <c r="M413" s="21" t="e">
        <f aca="false">IF(M$323&lt;$I413,SUM(M$218:M$219)*M313+IF(AND(INDEX(#REF!,,M$8)&gt;=$G413,INDEX(#REF!,,M$8)&lt;=$I413),M$220,),0)</f>
        <v>#VALUE!</v>
      </c>
      <c r="N413" s="21" t="n">
        <f aca="false">IF(N$323&lt;$I413,SUM(N$218:N$219)*N313+IF(AND(INDEX(#REF!,,N$8)&gt;=$G413,INDEX(#REF!,,N$8)&lt;=$I413),N$220,),0)</f>
        <v>0</v>
      </c>
      <c r="O413" s="21" t="e">
        <f aca="false">IF(O$323&lt;$I413,SUM(O$218:O$219)*O313+IF(AND(INDEX(#REF!,,O$8)&gt;=$G413,INDEX(#REF!,,O$8)&lt;=$I413),O$220,),0)</f>
        <v>#VALUE!</v>
      </c>
      <c r="P413" s="21" t="e">
        <f aca="false">IF(P$323&lt;$I413,SUM(P$218:P$219)*P313+IF(AND(INDEX(#REF!,,P$8)&gt;=$G413,INDEX(#REF!,,P$8)&lt;=$I413),P$220,),0)</f>
        <v>#VALUE!</v>
      </c>
    </row>
    <row r="414" customFormat="false" ht="13.8" hidden="false" customHeight="false" outlineLevel="0" collapsed="false">
      <c r="B414" s="1"/>
      <c r="C414" s="136"/>
      <c r="E414" s="5" t="n">
        <f aca="false">E413+1</f>
        <v>91</v>
      </c>
      <c r="F414" s="5" t="e">
        <f aca="false">MATCH(G414,#REF!)</f>
        <v>#VALUE!</v>
      </c>
      <c r="G414" s="169" t="n">
        <f aca="false">IF(I413=0,Model_Start_Date,I413+1)</f>
        <v>48396</v>
      </c>
      <c r="H414" s="1"/>
      <c r="I414" s="169" t="n">
        <f aca="false">EOMONTH(G414,0)</f>
        <v>48426</v>
      </c>
      <c r="K414" s="15" t="s">
        <v>12</v>
      </c>
      <c r="L414" s="12"/>
      <c r="M414" s="21" t="e">
        <f aca="false">IF(M$323&lt;$I414,SUM(M$218:M$219)*M314+IF(AND(INDEX(#REF!,,M$8)&gt;=$G414,INDEX(#REF!,,M$8)&lt;=$I414),M$220,),0)</f>
        <v>#VALUE!</v>
      </c>
      <c r="N414" s="21" t="n">
        <f aca="false">IF(N$323&lt;$I414,SUM(N$218:N$219)*N314+IF(AND(INDEX(#REF!,,N$8)&gt;=$G414,INDEX(#REF!,,N$8)&lt;=$I414),N$220,),0)</f>
        <v>0</v>
      </c>
      <c r="O414" s="21" t="e">
        <f aca="false">IF(O$323&lt;$I414,SUM(O$218:O$219)*O314+IF(AND(INDEX(#REF!,,O$8)&gt;=$G414,INDEX(#REF!,,O$8)&lt;=$I414),O$220,),0)</f>
        <v>#VALUE!</v>
      </c>
      <c r="P414" s="21" t="e">
        <f aca="false">IF(P$323&lt;$I414,SUM(P$218:P$219)*P314+IF(AND(INDEX(#REF!,,P$8)&gt;=$G414,INDEX(#REF!,,P$8)&lt;=$I414),P$220,),0)</f>
        <v>#VALUE!</v>
      </c>
    </row>
    <row r="415" customFormat="false" ht="13.8" hidden="false" customHeight="false" outlineLevel="0" collapsed="false">
      <c r="B415" s="1"/>
      <c r="C415" s="136"/>
      <c r="E415" s="5" t="n">
        <f aca="false">E414+1</f>
        <v>92</v>
      </c>
      <c r="F415" s="5" t="e">
        <f aca="false">MATCH(G415,#REF!)</f>
        <v>#VALUE!</v>
      </c>
      <c r="G415" s="169" t="n">
        <f aca="false">IF(I414=0,Model_Start_Date,I414+1)</f>
        <v>48427</v>
      </c>
      <c r="H415" s="1"/>
      <c r="I415" s="169" t="n">
        <f aca="false">EOMONTH(G415,0)</f>
        <v>48457</v>
      </c>
      <c r="K415" s="15" t="s">
        <v>12</v>
      </c>
      <c r="L415" s="12"/>
      <c r="M415" s="21" t="e">
        <f aca="false">IF(M$323&lt;$I415,SUM(M$218:M$219)*M315+IF(AND(INDEX(#REF!,,M$8)&gt;=$G415,INDEX(#REF!,,M$8)&lt;=$I415),M$220,),0)</f>
        <v>#VALUE!</v>
      </c>
      <c r="N415" s="21" t="n">
        <f aca="false">IF(N$323&lt;$I415,SUM(N$218:N$219)*N315+IF(AND(INDEX(#REF!,,N$8)&gt;=$G415,INDEX(#REF!,,N$8)&lt;=$I415),N$220,),0)</f>
        <v>0</v>
      </c>
      <c r="O415" s="21" t="e">
        <f aca="false">IF(O$323&lt;$I415,SUM(O$218:O$219)*O315+IF(AND(INDEX(#REF!,,O$8)&gt;=$G415,INDEX(#REF!,,O$8)&lt;=$I415),O$220,),0)</f>
        <v>#VALUE!</v>
      </c>
      <c r="P415" s="21" t="e">
        <f aca="false">IF(P$323&lt;$I415,SUM(P$218:P$219)*P315+IF(AND(INDEX(#REF!,,P$8)&gt;=$G415,INDEX(#REF!,,P$8)&lt;=$I415),P$220,),0)</f>
        <v>#VALUE!</v>
      </c>
    </row>
    <row r="416" customFormat="false" ht="13.8" hidden="false" customHeight="false" outlineLevel="0" collapsed="false">
      <c r="B416" s="1"/>
      <c r="C416" s="136"/>
      <c r="E416" s="5" t="n">
        <f aca="false">E415+1</f>
        <v>93</v>
      </c>
      <c r="F416" s="5" t="e">
        <f aca="false">MATCH(G416,#REF!)</f>
        <v>#VALUE!</v>
      </c>
      <c r="G416" s="169" t="n">
        <f aca="false">IF(I415=0,Model_Start_Date,I415+1)</f>
        <v>48458</v>
      </c>
      <c r="H416" s="1"/>
      <c r="I416" s="169" t="n">
        <f aca="false">EOMONTH(G416,0)</f>
        <v>48487</v>
      </c>
      <c r="K416" s="15" t="s">
        <v>12</v>
      </c>
      <c r="L416" s="12"/>
      <c r="M416" s="21" t="e">
        <f aca="false">IF(M$323&lt;$I416,SUM(M$218:M$219)*M316+IF(AND(INDEX(#REF!,,M$8)&gt;=$G416,INDEX(#REF!,,M$8)&lt;=$I416),M$220,),0)</f>
        <v>#VALUE!</v>
      </c>
      <c r="N416" s="21" t="n">
        <f aca="false">IF(N$323&lt;$I416,SUM(N$218:N$219)*N316+IF(AND(INDEX(#REF!,,N$8)&gt;=$G416,INDEX(#REF!,,N$8)&lt;=$I416),N$220,),0)</f>
        <v>0</v>
      </c>
      <c r="O416" s="21" t="e">
        <f aca="false">IF(O$323&lt;$I416,SUM(O$218:O$219)*O316+IF(AND(INDEX(#REF!,,O$8)&gt;=$G416,INDEX(#REF!,,O$8)&lt;=$I416),O$220,),0)</f>
        <v>#VALUE!</v>
      </c>
      <c r="P416" s="21" t="e">
        <f aca="false">IF(P$323&lt;$I416,SUM(P$218:P$219)*P316+IF(AND(INDEX(#REF!,,P$8)&gt;=$G416,INDEX(#REF!,,P$8)&lt;=$I416),P$220,),0)</f>
        <v>#VALUE!</v>
      </c>
    </row>
    <row r="417" customFormat="false" ht="13.8" hidden="false" customHeight="false" outlineLevel="0" collapsed="false">
      <c r="B417" s="1"/>
      <c r="C417" s="136"/>
      <c r="E417" s="5" t="n">
        <f aca="false">E416+1</f>
        <v>94</v>
      </c>
      <c r="F417" s="5" t="e">
        <f aca="false">MATCH(G417,#REF!)</f>
        <v>#VALUE!</v>
      </c>
      <c r="G417" s="169" t="n">
        <f aca="false">IF(I416=0,Model_Start_Date,I416+1)</f>
        <v>48488</v>
      </c>
      <c r="H417" s="1"/>
      <c r="I417" s="169" t="n">
        <f aca="false">EOMONTH(G417,0)</f>
        <v>48518</v>
      </c>
      <c r="K417" s="15" t="s">
        <v>12</v>
      </c>
      <c r="L417" s="12"/>
      <c r="M417" s="21" t="e">
        <f aca="false">IF(M$323&lt;$I417,SUM(M$218:M$219)*M317+IF(AND(INDEX(#REF!,,M$8)&gt;=$G417,INDEX(#REF!,,M$8)&lt;=$I417),M$220,),0)</f>
        <v>#VALUE!</v>
      </c>
      <c r="N417" s="21" t="n">
        <f aca="false">IF(N$323&lt;$I417,SUM(N$218:N$219)*N317+IF(AND(INDEX(#REF!,,N$8)&gt;=$G417,INDEX(#REF!,,N$8)&lt;=$I417),N$220,),0)</f>
        <v>0</v>
      </c>
      <c r="O417" s="21" t="e">
        <f aca="false">IF(O$323&lt;$I417,SUM(O$218:O$219)*O317+IF(AND(INDEX(#REF!,,O$8)&gt;=$G417,INDEX(#REF!,,O$8)&lt;=$I417),O$220,),0)</f>
        <v>#VALUE!</v>
      </c>
      <c r="P417" s="21" t="e">
        <f aca="false">IF(P$323&lt;$I417,SUM(P$218:P$219)*P317+IF(AND(INDEX(#REF!,,P$8)&gt;=$G417,INDEX(#REF!,,P$8)&lt;=$I417),P$220,),0)</f>
        <v>#VALUE!</v>
      </c>
    </row>
    <row r="418" customFormat="false" ht="13.8" hidden="false" customHeight="false" outlineLevel="0" collapsed="false">
      <c r="B418" s="1"/>
      <c r="C418" s="136"/>
      <c r="E418" s="5" t="n">
        <f aca="false">E417+1</f>
        <v>95</v>
      </c>
      <c r="F418" s="5" t="e">
        <f aca="false">MATCH(G418,#REF!)</f>
        <v>#VALUE!</v>
      </c>
      <c r="G418" s="169" t="n">
        <f aca="false">IF(I417=0,Model_Start_Date,I417+1)</f>
        <v>48519</v>
      </c>
      <c r="H418" s="1"/>
      <c r="I418" s="169" t="n">
        <f aca="false">EOMONTH(G418,0)</f>
        <v>48548</v>
      </c>
      <c r="K418" s="15" t="s">
        <v>12</v>
      </c>
      <c r="L418" s="12"/>
      <c r="M418" s="21" t="e">
        <f aca="false">IF(M$323&lt;$I418,SUM(M$218:M$219)*M318+IF(AND(INDEX(#REF!,,M$8)&gt;=$G418,INDEX(#REF!,,M$8)&lt;=$I418),M$220,),0)</f>
        <v>#VALUE!</v>
      </c>
      <c r="N418" s="21" t="n">
        <f aca="false">IF(N$323&lt;$I418,SUM(N$218:N$219)*N318+IF(AND(INDEX(#REF!,,N$8)&gt;=$G418,INDEX(#REF!,,N$8)&lt;=$I418),N$220,),0)</f>
        <v>0</v>
      </c>
      <c r="O418" s="21" t="e">
        <f aca="false">IF(O$323&lt;$I418,SUM(O$218:O$219)*O318+IF(AND(INDEX(#REF!,,O$8)&gt;=$G418,INDEX(#REF!,,O$8)&lt;=$I418),O$220,),0)</f>
        <v>#VALUE!</v>
      </c>
      <c r="P418" s="21" t="e">
        <f aca="false">IF(P$323&lt;$I418,SUM(P$218:P$219)*P318+IF(AND(INDEX(#REF!,,P$8)&gt;=$G418,INDEX(#REF!,,P$8)&lt;=$I418),P$220,),0)</f>
        <v>#VALUE!</v>
      </c>
    </row>
    <row r="419" customFormat="false" ht="13.8" hidden="false" customHeight="false" outlineLevel="0" collapsed="false">
      <c r="B419" s="1"/>
      <c r="C419" s="136"/>
      <c r="E419" s="5" t="n">
        <f aca="false">E418+1</f>
        <v>96</v>
      </c>
      <c r="F419" s="5" t="e">
        <f aca="false">MATCH(G419,#REF!)</f>
        <v>#VALUE!</v>
      </c>
      <c r="G419" s="169" t="n">
        <f aca="false">IF(I418=0,Model_Start_Date,I418+1)</f>
        <v>48549</v>
      </c>
      <c r="H419" s="1"/>
      <c r="I419" s="169" t="n">
        <f aca="false">EOMONTH(G419,0)</f>
        <v>48579</v>
      </c>
      <c r="K419" s="15" t="s">
        <v>12</v>
      </c>
      <c r="L419" s="12"/>
      <c r="M419" s="21" t="e">
        <f aca="false">IF(M$323&lt;$I419,SUM(M$218:M$219)*M319+IF(AND(INDEX(#REF!,,M$8)&gt;=$G419,INDEX(#REF!,,M$8)&lt;=$I419),M$220,),0)</f>
        <v>#VALUE!</v>
      </c>
      <c r="N419" s="21" t="n">
        <f aca="false">IF(N$323&lt;$I419,SUM(N$218:N$219)*N319+IF(AND(INDEX(#REF!,,N$8)&gt;=$G419,INDEX(#REF!,,N$8)&lt;=$I419),N$220,),0)</f>
        <v>0</v>
      </c>
      <c r="O419" s="21" t="e">
        <f aca="false">IF(O$323&lt;$I419,SUM(O$218:O$219)*O319+IF(AND(INDEX(#REF!,,O$8)&gt;=$G419,INDEX(#REF!,,O$8)&lt;=$I419),O$220,),0)</f>
        <v>#VALUE!</v>
      </c>
      <c r="P419" s="21" t="e">
        <f aca="false">IF(P$323&lt;$I419,SUM(P$218:P$219)*P319+IF(AND(INDEX(#REF!,,P$8)&gt;=$G419,INDEX(#REF!,,P$8)&lt;=$I419),P$220,),0)</f>
        <v>#VALUE!</v>
      </c>
    </row>
    <row r="420" customFormat="false" ht="13.8" hidden="false" customHeight="false" outlineLevel="0" collapsed="false">
      <c r="L420" s="12"/>
    </row>
    <row r="421" customFormat="false" ht="13.8" hidden="false" customHeight="false" outlineLevel="0" collapsed="false">
      <c r="B421" s="11" t="n">
        <f aca="false">B199+1</f>
        <v>8</v>
      </c>
      <c r="C421" s="11" t="s">
        <v>691</v>
      </c>
      <c r="D421" s="11"/>
      <c r="E421" s="11"/>
      <c r="F421" s="11"/>
      <c r="G421" s="11"/>
      <c r="H421" s="11"/>
      <c r="I421" s="11"/>
      <c r="J421" s="11"/>
      <c r="K421" s="11"/>
      <c r="L421" s="11"/>
      <c r="M421" s="11"/>
      <c r="N421" s="11"/>
      <c r="O421" s="11"/>
      <c r="P421" s="11"/>
    </row>
    <row r="422" customFormat="false" ht="13.8" hidden="false" customHeight="false" outlineLevel="0" collapsed="false">
      <c r="B422" s="1"/>
      <c r="C422" s="1"/>
      <c r="D422" s="1"/>
      <c r="E422" s="1"/>
      <c r="F422" s="1"/>
      <c r="G422" s="1"/>
      <c r="H422" s="1"/>
      <c r="I422" s="1"/>
      <c r="K422" s="172"/>
      <c r="L422" s="12"/>
      <c r="M422" s="1"/>
      <c r="N422" s="1"/>
      <c r="O422" s="1"/>
      <c r="P422" s="1"/>
    </row>
    <row r="423" customFormat="false" ht="13.8" hidden="false" customHeight="false" outlineLevel="0" collapsed="false">
      <c r="B423" s="1"/>
      <c r="C423" s="1" t="s">
        <v>692</v>
      </c>
      <c r="D423" s="1"/>
      <c r="E423" s="1"/>
      <c r="F423" s="1"/>
      <c r="G423" s="1"/>
      <c r="H423" s="1"/>
      <c r="I423" s="1"/>
      <c r="K423" s="15" t="s">
        <v>23</v>
      </c>
      <c r="L423" s="12"/>
      <c r="M423" s="16" t="e">
        <f aca="false">M$59*M$78*M$83*(M$53&lt;&gt;TRUE())*10^-3</f>
        <v>#REF!</v>
      </c>
      <c r="N423" s="16" t="e">
        <f aca="false">N$59*N$78*N$83*(N$53&lt;&gt;TRUE())*10^-3</f>
        <v>#REF!</v>
      </c>
      <c r="O423" s="16" t="e">
        <f aca="false">O$59*O$78*O$83*(O$53&lt;&gt;TRUE())*10^-3</f>
        <v>#REF!</v>
      </c>
      <c r="P423" s="16" t="e">
        <f aca="false">P$59*P$78*P$83*(P$53&lt;&gt;TRUE())*10^-3</f>
        <v>#REF!</v>
      </c>
    </row>
    <row r="424" customFormat="false" ht="13.8" hidden="false" customHeight="false" outlineLevel="0" collapsed="false">
      <c r="B424" s="1"/>
      <c r="C424" s="1"/>
      <c r="D424" s="1"/>
      <c r="E424" s="1"/>
      <c r="F424" s="1"/>
      <c r="G424" s="1"/>
      <c r="H424" s="1"/>
      <c r="I424" s="1"/>
      <c r="K424" s="1"/>
      <c r="L424" s="12"/>
      <c r="M424" s="1"/>
      <c r="N424" s="1"/>
      <c r="O424" s="1"/>
      <c r="P424" s="1"/>
    </row>
    <row r="425" customFormat="false" ht="13.8" hidden="false" customHeight="false" outlineLevel="0" collapsed="false">
      <c r="B425" s="1"/>
      <c r="C425" s="1" t="s">
        <v>693</v>
      </c>
      <c r="D425" s="1"/>
      <c r="E425" s="1"/>
      <c r="F425" s="1"/>
      <c r="G425" s="1"/>
      <c r="H425" s="1"/>
      <c r="I425" s="1"/>
      <c r="K425" s="15" t="s">
        <v>33</v>
      </c>
      <c r="L425" s="12"/>
      <c r="M425" s="18" t="n">
        <f aca="false" t="array" ref="M425:M425">IFERROR(M$16*M$435/SUMPRODUCT(($M$435:$O$435)*(($M8:$O8)=M8)*(IF(Phase=9,($M$27:$O$27)&lt;&gt;0,$M$27:$O$27=M$27))),0)</f>
        <v>0</v>
      </c>
      <c r="N425" s="18" t="n">
        <f aca="false" t="array" ref="N425:N425">IFERROR(N$16*N$435/SUMPRODUCT(($M$435:$O$435)*(($M8:$O8)=N8)*(IF(Phase=9,($M$27:$O$27)&lt;&gt;0,$M$27:$O$27=N$27))),0)</f>
        <v>0</v>
      </c>
      <c r="O425" s="18" t="n">
        <f aca="false" t="array" ref="O425:O425">IFERROR(O$16*O$435/SUMPRODUCT(($M$435:$O$435)*(($M8:$O8)=O8)*(IF(Phase=9,($M$27:$O$27)&lt;&gt;0,$M$27:$O$27=O$27))),0)</f>
        <v>0</v>
      </c>
      <c r="P425" s="18" t="n">
        <f aca="false" t="array" ref="P425:P425">IFERROR(P$16*P$435/SUMPRODUCT(($M$435:$O$435)*(($M8:$O8)=P8)*(IF(Phase=9,($M$27:$O$27)&lt;&gt;0,$M$27:$O$27=P$27))),0)</f>
        <v>0</v>
      </c>
    </row>
    <row r="426" customFormat="false" ht="13.8" hidden="false" customHeight="false" outlineLevel="0" collapsed="false">
      <c r="B426" s="1"/>
      <c r="C426" s="1" t="s">
        <v>694</v>
      </c>
      <c r="D426" s="1"/>
      <c r="E426" s="1"/>
      <c r="F426" s="1"/>
      <c r="G426" s="1"/>
      <c r="H426" s="1"/>
      <c r="I426" s="1"/>
      <c r="K426" s="15" t="s">
        <v>33</v>
      </c>
      <c r="L426" s="12"/>
      <c r="M426" s="18" t="n">
        <f aca="false" t="array" ref="M426:M426">IFERROR(M$16*M$435/SUMPRODUCT(($M$435:$O$435)*(($M9:$O9)=M9)*(IF(Phase=9,($M$27:$O$27)&lt;&gt;0,$M$27:$O$27=M$27))),0)</f>
        <v>0</v>
      </c>
      <c r="N426" s="18" t="n">
        <f aca="false" t="array" ref="N426:N426">IFERROR(N$16*N$435/SUMPRODUCT(($M$435:$O$435)*(($M9:$O9)=N9)*(IF(Phase=9,($M$27:$O$27)&lt;&gt;0,$M$27:$O$27=N$27))),0)</f>
        <v>0</v>
      </c>
      <c r="O426" s="18" t="n">
        <f aca="false" t="array" ref="O426:O426">IFERROR(O$16*O$435/SUMPRODUCT(($M$435:$O$435)*(($M9:$O9)=O9)*(IF(Phase=9,($M$27:$O$27)&lt;&gt;0,$M$27:$O$27=O$27))),0)</f>
        <v>0</v>
      </c>
      <c r="P426" s="18" t="n">
        <f aca="false" t="array" ref="P426:P426">IFERROR(P$16*P$435/SUMPRODUCT(($M$435:$O$435)*(($M9:$O9)=P9)*(IF(Phase=9,($M$27:$O$27)&lt;&gt;0,$M$27:$O$27=P$27))),0)</f>
        <v>0</v>
      </c>
    </row>
    <row r="427" customFormat="false" ht="13.8" hidden="false" customHeight="false" outlineLevel="0" collapsed="false">
      <c r="B427" s="1"/>
      <c r="C427" s="1" t="s">
        <v>695</v>
      </c>
      <c r="D427" s="1"/>
      <c r="E427" s="1"/>
      <c r="F427" s="1"/>
      <c r="G427" s="1"/>
      <c r="H427" s="1"/>
      <c r="I427" s="1"/>
      <c r="K427" s="15" t="s">
        <v>33</v>
      </c>
      <c r="L427" s="12"/>
      <c r="M427" s="18" t="n">
        <f aca="false" t="array" ref="M427:M427">IFERROR(M$16*M$435/SUMPRODUCT(($M$435:$O$435)*($M$27:$O$27=M$27)*(Perimeter_Asset=M$9)),0)</f>
        <v>0</v>
      </c>
      <c r="N427" s="18" t="n">
        <f aca="false" t="array" ref="N427:N427">IFERROR(N$16*N$435/SUMPRODUCT(($M$435:$O$435)*($M$27:$O$27=N$27)*(Perimeter_Asset=N$9)),0)</f>
        <v>0</v>
      </c>
      <c r="O427" s="18" t="n">
        <f aca="false" t="array" ref="O427:O427">IFERROR(O$16*O$435/SUMPRODUCT(($M$435:$O$435)*($M$27:$O$27=O$27)*(Perimeter_Asset=O$9)),0)</f>
        <v>0</v>
      </c>
      <c r="P427" s="18" t="n">
        <f aca="false" t="array" ref="P427:P427">IFERROR(P$16*P$435/SUMPRODUCT(($M$435:$O$435)*($M$27:$O$27=P$27)*(Perimeter_Asset=P$9)),0)</f>
        <v>0</v>
      </c>
    </row>
    <row r="428" customFormat="false" ht="13.8" hidden="false" customHeight="false" outlineLevel="0" collapsed="false">
      <c r="B428" s="1"/>
      <c r="C428" s="1" t="s">
        <v>696</v>
      </c>
      <c r="D428" s="1"/>
      <c r="E428" s="1"/>
      <c r="F428" s="1"/>
      <c r="G428" s="1"/>
      <c r="H428" s="1"/>
      <c r="I428" s="1"/>
      <c r="K428" s="15" t="s">
        <v>284</v>
      </c>
      <c r="L428" s="12"/>
      <c r="M428" s="16" t="e">
        <f aca="false">M126*M423*10^-3+M149+M155+M163+M169+M175+M194+M189*M186*10^-3</f>
        <v>#REF!</v>
      </c>
      <c r="N428" s="16" t="e">
        <f aca="false">N126*N423*10^-3+N149+N155+N163+N169+N175+N194+N189*N186*10^-3</f>
        <v>#REF!</v>
      </c>
      <c r="O428" s="16" t="e">
        <f aca="false">O126*O423*10^-3+O149+O155+O163+O169+O175+O194+O189*O186*10^-3</f>
        <v>#REF!</v>
      </c>
      <c r="P428" s="16" t="e">
        <f aca="false">P126*P423*10^-3+P149+P155+P163+P169+P175+P194+P189*P186*10^-3</f>
        <v>#REF!</v>
      </c>
    </row>
    <row r="429" customFormat="false" ht="13.8" hidden="false" customHeight="false" outlineLevel="0" collapsed="false">
      <c r="B429" s="1"/>
      <c r="C429" s="1" t="s">
        <v>697</v>
      </c>
      <c r="D429" s="1"/>
      <c r="E429" s="1"/>
      <c r="F429" s="1"/>
      <c r="G429" s="1"/>
      <c r="H429" s="1"/>
      <c r="I429" s="1"/>
      <c r="K429" s="15" t="s">
        <v>33</v>
      </c>
      <c r="L429" s="12"/>
      <c r="M429" s="18" t="e">
        <f aca="false">IF(OR(M434=0,M16=FALSE()),0,M428/M434)</f>
        <v>#REF!</v>
      </c>
      <c r="N429" s="18" t="e">
        <f aca="false">IF(OR(N434=0,N16=FALSE()),0,N428/N434)</f>
        <v>#REF!</v>
      </c>
      <c r="O429" s="18" t="e">
        <f aca="false">IF(OR(O434=0,O16=FALSE()),0,O428/O434)</f>
        <v>#REF!</v>
      </c>
      <c r="P429" s="18" t="e">
        <f aca="false">IF(OR(P434=0,P16=FALSE()),0,P428/P434)</f>
        <v>#REF!</v>
      </c>
    </row>
    <row r="430" customFormat="false" ht="13.8" hidden="false" customHeight="false" outlineLevel="0" collapsed="false">
      <c r="B430" s="1"/>
      <c r="C430" s="1" t="str">
        <f aca="false">"First Drawdown after financial close"</f>
        <v>First Drawdown after financial close</v>
      </c>
      <c r="E430" s="1"/>
      <c r="G430" s="1"/>
      <c r="H430" s="1"/>
      <c r="I430" s="1"/>
      <c r="J430" s="1"/>
      <c r="K430" s="15" t="s">
        <v>25</v>
      </c>
      <c r="L430" s="12"/>
      <c r="M430" s="111" t="e">
        <f aca="false">IF(M$14,MAX(M$25,INDEX(#REF!,,M$48)),0)</f>
        <v>#REF!</v>
      </c>
      <c r="N430" s="111" t="n">
        <f aca="false">IF(N$14,MAX(N$25,INDEX(#REF!,,N$48)),0)</f>
        <v>0</v>
      </c>
      <c r="O430" s="111" t="e">
        <f aca="false">IF(O$14,MAX(O$25,INDEX(#REF!,,O$48)),0)</f>
        <v>#REF!</v>
      </c>
      <c r="P430" s="111" t="e">
        <f aca="false">IF(P$14,MAX(P$25,INDEX(#REF!,,P$48)),0)</f>
        <v>#REF!</v>
      </c>
    </row>
    <row r="431" customFormat="false" ht="13.8" hidden="false" customHeight="false" outlineLevel="0" collapsed="false">
      <c r="B431" s="1"/>
      <c r="C431" s="1"/>
      <c r="D431" s="1"/>
      <c r="E431" s="1"/>
      <c r="F431" s="1"/>
      <c r="G431" s="1"/>
      <c r="H431" s="1"/>
      <c r="I431" s="1"/>
      <c r="K431" s="1"/>
      <c r="L431" s="12"/>
      <c r="M431" s="1"/>
      <c r="N431" s="1"/>
      <c r="O431" s="1"/>
      <c r="P431" s="1"/>
    </row>
    <row r="432" customFormat="false" ht="13.8" hidden="false" customHeight="false" outlineLevel="0" collapsed="false">
      <c r="B432" s="1"/>
      <c r="C432" s="1" t="s">
        <v>19</v>
      </c>
      <c r="D432" s="1"/>
      <c r="E432" s="1"/>
      <c r="F432" s="1"/>
      <c r="G432" s="1"/>
      <c r="H432" s="1"/>
      <c r="I432" s="1"/>
      <c r="K432" s="15" t="s">
        <v>73</v>
      </c>
      <c r="L432" s="12"/>
      <c r="M432" s="103" t="e">
        <f aca="false">IF(OR(M60=0,M16=FALSE()),0,M221/M60)</f>
        <v>#VALUE!</v>
      </c>
      <c r="N432" s="103" t="n">
        <f aca="false">IF(OR(N60=0,N16=FALSE()),0,N221/N60)</f>
        <v>0</v>
      </c>
      <c r="O432" s="103" t="e">
        <f aca="false">IF(OR(O60=0,O16=FALSE()),0,O221/O60)</f>
        <v>#VALUE!</v>
      </c>
      <c r="P432" s="103" t="e">
        <f aca="false">IF(OR(P60=0,P16=FALSE()),0,P221/P60)</f>
        <v>#VALUE!</v>
      </c>
    </row>
    <row r="433" customFormat="false" ht="13.8" hidden="false" customHeight="false" outlineLevel="0" collapsed="false">
      <c r="B433" s="1"/>
      <c r="C433" s="1" t="s">
        <v>698</v>
      </c>
      <c r="D433" s="1"/>
      <c r="E433" s="1"/>
      <c r="F433" s="1"/>
      <c r="K433" s="15" t="s">
        <v>33</v>
      </c>
      <c r="L433" s="12"/>
      <c r="M433" s="18" t="n">
        <f aca="false">IFERROR(M435/M434,0)</f>
        <v>0</v>
      </c>
      <c r="N433" s="18" t="n">
        <f aca="false">IFERROR(N435/N434,0)</f>
        <v>0</v>
      </c>
      <c r="O433" s="18" t="n">
        <f aca="false">IFERROR(O435/O434,0)</f>
        <v>0</v>
      </c>
      <c r="P433" s="18" t="n">
        <f aca="false">IFERROR(P435/P434,0)</f>
        <v>0</v>
      </c>
    </row>
    <row r="434" customFormat="false" ht="13.8" hidden="false" customHeight="false" outlineLevel="0" collapsed="false">
      <c r="B434" s="1"/>
      <c r="C434" s="1" t="s">
        <v>699</v>
      </c>
      <c r="D434" s="1"/>
      <c r="E434" s="1"/>
      <c r="F434" s="1"/>
      <c r="G434" s="1"/>
      <c r="H434" s="1"/>
      <c r="I434" s="1"/>
      <c r="K434" s="15" t="s">
        <v>284</v>
      </c>
      <c r="L434" s="12"/>
      <c r="M434" s="16" t="e">
        <f aca="false">((M$88+M$89)*(M$95&lt;&gt;TRUE())+IFERROR(((MAX(M$78*M$83-M$96,0)*M$97+MIN(M$96,M$78*M$83)*M$88)/(M$78*M$83))+M$89,0)*(M$95=TRUE()))*M$60*M$78*M$83*(M$53&lt;&gt;TRUE())*10^-6+(M$53=TRUE())*M$55</f>
        <v>#REF!</v>
      </c>
      <c r="N434" s="16" t="e">
        <f aca="false">((N$88+N$89)*(N$95&lt;&gt;TRUE())+IFERROR(((MAX(N$78*N$83-N$96,0)*N$97+MIN(N$96,N$78*N$83)*N$88)/(N$78*N$83))+N$89,0)*(N$95=TRUE()))*N$60*N$78*N$83*(N$53&lt;&gt;TRUE())*10^-6+(N$53=TRUE())*N$55</f>
        <v>#REF!</v>
      </c>
      <c r="O434" s="16" t="e">
        <f aca="false">((O$88+O$89)*(O$95&lt;&gt;TRUE())+IFERROR(((MAX(O$78*O$83-O$96,0)*O$97+MIN(O$96,O$78*O$83)*O$88)/(O$78*O$83))+O$89,0)*(O$95=TRUE()))*O$60*O$78*O$83*(O$53&lt;&gt;TRUE())*10^-6+(O$53=TRUE())*O$55</f>
        <v>#REF!</v>
      </c>
      <c r="P434" s="16" t="e">
        <f aca="false">((P$88+P$89)*(P$95&lt;&gt;TRUE())+IFERROR(((MAX(P$78*P$83-P$96,0)*P$97+MIN(P$96,P$78*P$83)*P$88)/(P$78*P$83))+P$89,0)*(P$95=TRUE()))*P$60*P$78*P$83*(P$53&lt;&gt;TRUE())*10^-6+(P$53=TRUE())*P$55</f>
        <v>#REF!</v>
      </c>
    </row>
    <row r="435" customFormat="false" ht="13.8" hidden="false" customHeight="false" outlineLevel="0" collapsed="false">
      <c r="B435" s="1"/>
      <c r="C435" s="1" t="s">
        <v>700</v>
      </c>
      <c r="D435" s="1"/>
      <c r="E435" s="1"/>
      <c r="F435" s="1"/>
      <c r="G435" s="1"/>
      <c r="H435" s="1"/>
      <c r="I435" s="1"/>
      <c r="K435" s="15" t="s">
        <v>284</v>
      </c>
      <c r="L435" s="12"/>
      <c r="M435" s="16" t="e">
        <f aca="false">IF(M16,(M434-M428),0)</f>
        <v>#REF!</v>
      </c>
      <c r="N435" s="16" t="n">
        <f aca="false">IF(N16,(N434-N428),0)</f>
        <v>0</v>
      </c>
      <c r="O435" s="16" t="e">
        <f aca="false">IF(O16,(O434-O428),0)</f>
        <v>#REF!</v>
      </c>
      <c r="P435" s="16" t="e">
        <f aca="false">IF(P16,(P434-P428),0)</f>
        <v>#REF!</v>
      </c>
    </row>
    <row r="436" customFormat="false" ht="13.8" hidden="false" customHeight="false" outlineLevel="0" collapsed="false">
      <c r="B436" s="1"/>
      <c r="C436" s="1" t="s">
        <v>701</v>
      </c>
      <c r="D436" s="1"/>
      <c r="E436" s="1"/>
      <c r="F436" s="1"/>
      <c r="G436" s="1"/>
      <c r="K436" s="15" t="s">
        <v>33</v>
      </c>
      <c r="L436" s="12"/>
      <c r="M436" s="18" t="e">
        <f aca="false">IF(M16,M435/M221,0)</f>
        <v>#VALUE!</v>
      </c>
      <c r="N436" s="18" t="n">
        <f aca="false">IF(N16,N435/N221,0)</f>
        <v>0</v>
      </c>
      <c r="O436" s="18" t="e">
        <f aca="false">IF(O16,O435/O221,0)</f>
        <v>#VALUE!</v>
      </c>
      <c r="P436" s="18" t="e">
        <f aca="false">IF(P16,P435/P221,0)</f>
        <v>#VALUE!</v>
      </c>
    </row>
    <row r="437" customFormat="false" ht="13.8" hidden="false" customHeight="false" outlineLevel="0" collapsed="false">
      <c r="B437" s="1"/>
      <c r="C437" s="1"/>
      <c r="D437" s="1"/>
      <c r="E437" s="1"/>
      <c r="F437" s="1"/>
      <c r="G437" s="1"/>
      <c r="H437" s="1"/>
      <c r="I437" s="1"/>
      <c r="K437" s="1"/>
      <c r="L437" s="12"/>
      <c r="M437" s="1"/>
      <c r="N437" s="1"/>
      <c r="O437" s="1"/>
      <c r="P437" s="1"/>
    </row>
    <row r="438" customFormat="false" ht="13.8" hidden="false" customHeight="false" outlineLevel="0" collapsed="false">
      <c r="B438" s="1"/>
      <c r="C438" s="1" t="s">
        <v>702</v>
      </c>
      <c r="D438" s="1"/>
      <c r="E438" s="1"/>
      <c r="F438" s="1"/>
      <c r="G438" s="1"/>
      <c r="H438" s="1"/>
      <c r="I438" s="1"/>
      <c r="K438" s="15" t="s">
        <v>33</v>
      </c>
      <c r="L438" s="12"/>
      <c r="M438" s="18" t="n">
        <f aca="false" t="array" ref="M438:M438">IFERROR(M$16*M$434/SUMPRODUCT(($M$434:$O$434)*(($M21:$O21)=M21)*(IF(Phase=9,($M$27:$O$27)&lt;&gt;0,$M$27:$O$27=M$27))),0)</f>
        <v>0</v>
      </c>
      <c r="N438" s="18" t="n">
        <f aca="false" t="array" ref="N438:N438">IFERROR(N$16*N$434/SUMPRODUCT(($M$434:$O$434)*(($M21:$O21)=N21)*(IF(Phase=9,($M$27:$O$27)&lt;&gt;0,$M$27:$O$27=N$27))),0)</f>
        <v>0</v>
      </c>
      <c r="O438" s="18" t="n">
        <f aca="false" t="array" ref="O438:O438">IFERROR(O$16*O$434/SUMPRODUCT(($M$434:$O$434)*(($M21:$O21)=O21)*(IF(Phase=9,($M$27:$O$27)&lt;&gt;0,$M$27:$O$27=O$27))),0)</f>
        <v>0</v>
      </c>
      <c r="P438" s="18" t="n">
        <f aca="false" t="array" ref="P438:P438">IFERROR(P$16*P$434/SUMPRODUCT(($M$434:$O$434)*(($M21:$O21)=P21)*(IF(Phase=9,($M$27:$O$27)&lt;&gt;0,$M$27:$O$27=P$27))),0)</f>
        <v>0</v>
      </c>
    </row>
    <row r="439" customFormat="false" ht="13.8" hidden="false" customHeight="false" outlineLevel="0" collapsed="false">
      <c r="B439" s="1"/>
      <c r="C439" s="1" t="s">
        <v>703</v>
      </c>
      <c r="D439" s="1"/>
      <c r="E439" s="1"/>
      <c r="F439" s="1"/>
      <c r="G439" s="1"/>
      <c r="H439" s="1"/>
      <c r="I439" s="1"/>
      <c r="K439" s="15" t="s">
        <v>33</v>
      </c>
      <c r="L439" s="12"/>
      <c r="M439" s="18" t="n">
        <f aca="false" t="array" ref="M439:M439">IFERROR(M$16*M$434/SUMPRODUCT(($M$434:$O$434)*(($M9:$O9)=M9)*(IF(Phase=9,($M$27:$O$27)&lt;&gt;0,$M$27:$O$27=M$27))),0)</f>
        <v>0</v>
      </c>
      <c r="N439" s="18" t="n">
        <f aca="false" t="array" ref="N439:N439">IFERROR(N$16*N$434/SUMPRODUCT(($M$434:$O$434)*(($M9:$O9)=N9)*(IF(Phase=9,($M$27:$O$27)&lt;&gt;0,$M$27:$O$27=N$27))),0)</f>
        <v>0</v>
      </c>
      <c r="O439" s="18" t="n">
        <f aca="false" t="array" ref="O439:O439">IFERROR(O$16*O$434/SUMPRODUCT(($M$434:$O$434)*(($M9:$O9)=O9)*(IF(Phase=9,($M$27:$O$27)&lt;&gt;0,$M$27:$O$27=O$27))),0)</f>
        <v>0</v>
      </c>
      <c r="P439" s="18" t="n">
        <f aca="false" t="array" ref="P439:P439">IFERROR(P$16*P$434/SUMPRODUCT(($M$434:$O$434)*(($M9:$O9)=P9)*(IF(Phase=9,($M$27:$O$27)&lt;&gt;0,$M$27:$O$27=P$27))),0)</f>
        <v>0</v>
      </c>
    </row>
    <row r="440" customFormat="false" ht="13.8" hidden="false" customHeight="false" outlineLevel="0" collapsed="false">
      <c r="B440" s="1"/>
      <c r="C440" s="1" t="s">
        <v>704</v>
      </c>
      <c r="D440" s="1"/>
      <c r="E440" s="1"/>
      <c r="F440" s="1"/>
      <c r="G440" s="1"/>
      <c r="H440" s="1"/>
      <c r="I440" s="1"/>
      <c r="K440" s="15" t="s">
        <v>33</v>
      </c>
      <c r="L440" s="12"/>
      <c r="M440" s="18" t="n">
        <f aca="false" t="array" ref="M440:M440">IFERROR(M$16*M$434/SUMPRODUCT(($M$434:$O$434)*($M$27:$O$27=M$27)*(Perimeter_Asset=M$9)),0)</f>
        <v>0</v>
      </c>
      <c r="N440" s="18" t="n">
        <f aca="false" t="array" ref="N440:N440">IFERROR(N$16*N$434/SUMPRODUCT(($M$434:$O$434)*($M$27:$O$27=N$27)*(Perimeter_Asset=N$9)),0)</f>
        <v>0</v>
      </c>
      <c r="O440" s="18" t="n">
        <f aca="false" t="array" ref="O440:O440">IFERROR(O$16*O$434/SUMPRODUCT(($M$434:$O$434)*($M$27:$O$27=O$27)*(Perimeter_Asset=O$9)),0)</f>
        <v>0</v>
      </c>
      <c r="P440" s="18" t="n">
        <f aca="false" t="array" ref="P440:P440">IFERROR(P$16*P$434/SUMPRODUCT(($M$434:$O$434)*($M$27:$O$27=P$27)*(Perimeter_Asset=P$9)),0)</f>
        <v>0</v>
      </c>
    </row>
    <row r="441" customFormat="false" ht="13.8" hidden="false" customHeight="false" outlineLevel="0" collapsed="false">
      <c r="B441" s="1"/>
      <c r="C441" s="1"/>
      <c r="D441" s="1"/>
      <c r="E441" s="1"/>
      <c r="F441" s="1"/>
      <c r="G441" s="1"/>
      <c r="H441" s="1"/>
      <c r="I441" s="1"/>
      <c r="K441" s="1"/>
      <c r="L441" s="12"/>
      <c r="M441" s="1"/>
      <c r="N441" s="1"/>
      <c r="O441" s="1"/>
      <c r="P441" s="1"/>
    </row>
    <row r="442" customFormat="false" ht="13.8" hidden="false" customHeight="false" outlineLevel="0" collapsed="false">
      <c r="B442" s="11" t="n">
        <f aca="false">B421+1</f>
        <v>9</v>
      </c>
      <c r="C442" s="11" t="s">
        <v>705</v>
      </c>
      <c r="D442" s="11"/>
      <c r="E442" s="11"/>
      <c r="F442" s="11"/>
      <c r="G442" s="11"/>
      <c r="H442" s="11"/>
      <c r="I442" s="11"/>
      <c r="J442" s="11"/>
      <c r="K442" s="11"/>
      <c r="L442" s="11"/>
      <c r="M442" s="11"/>
      <c r="N442" s="11"/>
      <c r="O442" s="11"/>
      <c r="P442" s="11"/>
    </row>
    <row r="443" customFormat="false" ht="13.8" hidden="false" customHeight="false" outlineLevel="0" collapsed="false">
      <c r="L443" s="12"/>
    </row>
    <row r="444" customFormat="false" ht="13.8" hidden="false" customHeight="false" outlineLevel="0" collapsed="false">
      <c r="B444" s="1"/>
      <c r="C444" s="1" t="s">
        <v>706</v>
      </c>
      <c r="D444" s="1"/>
      <c r="E444" s="1"/>
      <c r="F444" s="1"/>
      <c r="G444" s="1"/>
      <c r="H444" s="15" t="s">
        <v>707</v>
      </c>
      <c r="I444" s="63"/>
      <c r="K444" s="15" t="s">
        <v>12</v>
      </c>
      <c r="L444" s="12"/>
      <c r="M444" s="28" t="n">
        <f aca="false">M205*$I$444</f>
        <v>0</v>
      </c>
      <c r="N444" s="28" t="n">
        <f aca="false">N205*$I$444</f>
        <v>0</v>
      </c>
      <c r="O444" s="28" t="n">
        <f aca="false">O205*$I$444</f>
        <v>0</v>
      </c>
      <c r="P444" s="28" t="n">
        <f aca="false">P205*$I$444</f>
        <v>0</v>
      </c>
    </row>
    <row r="445" customFormat="false" ht="13.8" hidden="false" customHeight="false" outlineLevel="0" collapsed="false">
      <c r="B445" s="1"/>
      <c r="C445" s="1" t="s">
        <v>708</v>
      </c>
      <c r="D445" s="1"/>
      <c r="E445" s="1"/>
      <c r="F445" s="1"/>
      <c r="G445" s="1"/>
      <c r="H445" s="15" t="s">
        <v>709</v>
      </c>
      <c r="I445" s="63"/>
      <c r="K445" s="15" t="s">
        <v>12</v>
      </c>
      <c r="L445" s="12"/>
      <c r="M445" s="28" t="n">
        <f aca="false">M205*$I$445</f>
        <v>0</v>
      </c>
      <c r="N445" s="28" t="n">
        <f aca="false">N205*$I$445</f>
        <v>0</v>
      </c>
      <c r="O445" s="28" t="n">
        <f aca="false">O205*$I$445</f>
        <v>0</v>
      </c>
      <c r="P445" s="28" t="n">
        <f aca="false">P205*$I$445</f>
        <v>0</v>
      </c>
    </row>
    <row r="446" customFormat="false" ht="13.8" hidden="false" customHeight="false" outlineLevel="0" collapsed="false">
      <c r="C446" s="1" t="s">
        <v>710</v>
      </c>
      <c r="H446" s="15" t="s">
        <v>33</v>
      </c>
      <c r="I446" s="29" t="e">
        <f aca="false">IF(SUM(M446:O446)=0,0,AVERAGEIFS(M446:O446,M446:O446,"&lt;&gt;0"))</f>
        <v>#REF!</v>
      </c>
      <c r="K446" s="15" t="s">
        <v>33</v>
      </c>
      <c r="L446" s="12"/>
      <c r="M446" s="29" t="e">
        <f aca="false">IF(M434=0,0,M444/M434)</f>
        <v>#REF!</v>
      </c>
      <c r="N446" s="29" t="e">
        <f aca="false">IF(N434=0,0,N444/N434)</f>
        <v>#REF!</v>
      </c>
      <c r="O446" s="29" t="e">
        <f aca="false">IF(O434=0,0,O444/O434)</f>
        <v>#REF!</v>
      </c>
      <c r="P446" s="29" t="e">
        <f aca="false">IF(P434=0,0,P444/P434)</f>
        <v>#REF!</v>
      </c>
    </row>
    <row r="447" customFormat="false" ht="13.8" hidden="false" customHeight="false" outlineLevel="0" collapsed="false">
      <c r="C447" s="1" t="s">
        <v>711</v>
      </c>
      <c r="H447" s="15" t="s">
        <v>712</v>
      </c>
      <c r="I447" s="21" t="e">
        <f aca="false">I446*365</f>
        <v>#REF!</v>
      </c>
      <c r="K447" s="15" t="s">
        <v>712</v>
      </c>
      <c r="L447" s="12"/>
      <c r="M447" s="21" t="e">
        <f aca="false">M446*365</f>
        <v>#REF!</v>
      </c>
      <c r="N447" s="21" t="e">
        <f aca="false">N446*365</f>
        <v>#REF!</v>
      </c>
      <c r="O447" s="21" t="e">
        <f aca="false">O446*365</f>
        <v>#REF!</v>
      </c>
      <c r="P447" s="21" t="e">
        <f aca="false">P446*365</f>
        <v>#REF!</v>
      </c>
    </row>
    <row r="448" customFormat="false" ht="13.8" hidden="false" customHeight="false" outlineLevel="0" collapsed="false">
      <c r="H448" s="15" t="s">
        <v>33</v>
      </c>
      <c r="I448" s="29" t="e">
        <f aca="false">IF(SUM(M448:O448)=0,0,AVERAGEIFS(M448:O448,M448:O448,"&lt;&gt;0"))</f>
        <v>#REF!</v>
      </c>
      <c r="K448" s="15" t="s">
        <v>33</v>
      </c>
      <c r="L448" s="12"/>
      <c r="M448" s="29" t="e">
        <f aca="false">IF(M434=0,0,M445/(M434/365))</f>
        <v>#REF!</v>
      </c>
      <c r="N448" s="29" t="e">
        <f aca="false">IF(N434=0,0,N445/(N434/365))</f>
        <v>#REF!</v>
      </c>
      <c r="O448" s="29" t="e">
        <f aca="false">IF(O434=0,0,O445/(O434/365))</f>
        <v>#REF!</v>
      </c>
      <c r="P448" s="29" t="e">
        <f aca="false">IF(P434=0,0,P445/(P434/365))</f>
        <v>#REF!</v>
      </c>
    </row>
    <row r="449" customFormat="false" ht="13.8" hidden="false" customHeight="false" outlineLevel="0" collapsed="false">
      <c r="E449" s="5" t="s">
        <v>713</v>
      </c>
      <c r="L449" s="12"/>
    </row>
    <row r="450" customFormat="false" ht="13.8" hidden="false" customHeight="false" outlineLevel="0" collapsed="false">
      <c r="C450" s="1" t="s">
        <v>714</v>
      </c>
      <c r="D450" s="15" t="s">
        <v>33</v>
      </c>
      <c r="E450" s="63"/>
      <c r="F450" s="15" t="s">
        <v>33</v>
      </c>
      <c r="G450" s="63"/>
      <c r="H450" s="15" t="s">
        <v>33</v>
      </c>
      <c r="I450" s="63"/>
      <c r="K450" s="15" t="s">
        <v>284</v>
      </c>
      <c r="L450" s="12"/>
      <c r="M450" s="24" t="n">
        <f aca="false">M148*$E$450</f>
        <v>0</v>
      </c>
      <c r="N450" s="24" t="n">
        <f aca="false">N148*$E$450</f>
        <v>0</v>
      </c>
      <c r="O450" s="24" t="n">
        <f aca="false">O148*$E$450</f>
        <v>0</v>
      </c>
      <c r="P450" s="24" t="n">
        <f aca="false">P148*$E$450</f>
        <v>0</v>
      </c>
    </row>
    <row r="451" customFormat="false" ht="13.8" hidden="false" customHeight="false" outlineLevel="0" collapsed="false">
      <c r="C451" s="1" t="s">
        <v>710</v>
      </c>
      <c r="H451" s="15" t="s">
        <v>33</v>
      </c>
      <c r="I451" s="29" t="e">
        <f aca="false">IF(SUM(M451:O451)=0,0,AVERAGEIFS(M451:O451,M451:O451,"&lt;&gt;0"))</f>
        <v>#REF!</v>
      </c>
      <c r="K451" s="15" t="s">
        <v>33</v>
      </c>
      <c r="L451" s="12"/>
      <c r="M451" s="29" t="e">
        <f aca="false">IF(M434=0,0,M450/M434)</f>
        <v>#REF!</v>
      </c>
      <c r="N451" s="29" t="e">
        <f aca="false">IF(N434=0,0,N450/N434)</f>
        <v>#REF!</v>
      </c>
      <c r="O451" s="29" t="e">
        <f aca="false">IF(O434=0,0,O450/O434)</f>
        <v>#REF!</v>
      </c>
      <c r="P451" s="29" t="e">
        <f aca="false">IF(P434=0,0,P450/P434)</f>
        <v>#REF!</v>
      </c>
    </row>
    <row r="452" customFormat="false" ht="13.8" hidden="false" customHeight="false" outlineLevel="0" collapsed="false">
      <c r="C452" s="1" t="s">
        <v>715</v>
      </c>
      <c r="F452" s="15" t="s">
        <v>33</v>
      </c>
      <c r="G452" s="29" t="n">
        <f aca="false">IF(G450=0,0,I450*(E450/G450))</f>
        <v>0</v>
      </c>
      <c r="H452" s="15" t="s">
        <v>284</v>
      </c>
      <c r="I452" s="173" t="e">
        <f aca="false">IF(SUM(M452:O452)=0,0,AVERAGEIFS(M452:O452,M452:O452,"&lt;&gt;0"))</f>
        <v>#REF!</v>
      </c>
      <c r="K452" s="15" t="s">
        <v>284</v>
      </c>
      <c r="L452" s="12"/>
      <c r="M452" s="174" t="e">
        <f aca="false">-M434*$G$452+M450</f>
        <v>#REF!</v>
      </c>
      <c r="N452" s="174" t="e">
        <f aca="false">-N434*$G$452+N450</f>
        <v>#REF!</v>
      </c>
      <c r="O452" s="174" t="e">
        <f aca="false">-O434*$G$452+O450</f>
        <v>#REF!</v>
      </c>
      <c r="P452" s="174" t="e">
        <f aca="false">-P434*$G$452+P450</f>
        <v>#REF!</v>
      </c>
    </row>
    <row r="453" customFormat="false" ht="13.8" hidden="false" customHeight="false" outlineLevel="0" collapsed="false">
      <c r="L453" s="12"/>
    </row>
    <row r="454" customFormat="false" ht="13.8" hidden="false" customHeight="false" outlineLevel="0" collapsed="false">
      <c r="B454" s="11" t="n">
        <f aca="false">B442+1</f>
        <v>10</v>
      </c>
      <c r="C454" s="11" t="s">
        <v>217</v>
      </c>
      <c r="D454" s="11"/>
      <c r="E454" s="11"/>
      <c r="F454" s="11"/>
      <c r="G454" s="11"/>
      <c r="H454" s="11"/>
      <c r="I454" s="11"/>
      <c r="J454" s="11"/>
      <c r="K454" s="11"/>
      <c r="L454" s="11"/>
      <c r="M454" s="11"/>
      <c r="N454" s="11"/>
      <c r="O454" s="11"/>
      <c r="P454" s="11"/>
    </row>
  </sheetData>
  <conditionalFormatting sqref="M182:P182">
    <cfRule type="expression" priority="2" aboveAverage="0" equalAverage="0" bottom="0" percent="0" rank="0" text="" dxfId="3">
      <formula>M182=1</formula>
    </cfRule>
    <cfRule type="expression" priority="3" aboveAverage="0" equalAverage="0" bottom="0" percent="0" rank="0" text="" dxfId="4">
      <formula>M182=0</formula>
    </cfRule>
    <cfRule type="expression" priority="4" aboveAverage="0" equalAverage="0" bottom="0" percent="0" rank="0" text="" dxfId="0">
      <formula>ass_asset #REF!=0</formula>
    </cfRule>
    <cfRule type="expression" priority="5" aboveAverage="0" equalAverage="0" bottom="0" percent="0" rank="0" text="" dxfId="1">
      <formula>M182=1</formula>
    </cfRule>
    <cfRule type="expression" priority="6" aboveAverage="0" equalAverage="0" bottom="0" percent="0" rank="0" text="" dxfId="2">
      <formula>M182=0</formula>
    </cfRule>
  </conditionalFormatting>
  <conditionalFormatting sqref="I21:I22 I320 M184:P184 M320:P320 M15:O15 M15:N15 N14:O14 P14:P16 M14:M16 N16:O16">
    <cfRule type="expression" priority="7" aboveAverage="0" equalAverage="0" bottom="0" percent="0" rank="0" text="" dxfId="0">
      <formula>ass_asset #REF!=0</formula>
    </cfRule>
    <cfRule type="expression" priority="8" aboveAverage="0" equalAverage="0" bottom="0" percent="0" rank="0" text="" dxfId="1">
      <formula>I14=1</formula>
    </cfRule>
    <cfRule type="expression" priority="9" aboveAverage="0" equalAverage="0" bottom="0" percent="0" rank="0" text="" dxfId="2">
      <formula>I14=0</formula>
    </cfRule>
  </conditionalFormatting>
  <conditionalFormatting sqref="O16:P16 M91:P91 M53:P53 M95:P95 O14:P14 M16 M14">
    <cfRule type="expression" priority="10" aboveAverage="0" equalAverage="0" bottom="0" percent="0" rank="0" text="" dxfId="3">
      <formula>M14=1</formula>
    </cfRule>
    <cfRule type="expression" priority="11" aboveAverage="0" equalAverage="0" bottom="0" percent="0" rank="0" text="" dxfId="4">
      <formula>M14=0</formula>
    </cfRule>
  </conditionalFormatting>
  <dataValidations count="9">
    <dataValidation allowBlank="true" errorStyle="stop" operator="equal" showDropDown="false" showErrorMessage="true" showInputMessage="true" sqref="M2:P2" type="list">
      <formula1>Name_Vehicle_Column</formula1>
      <formula2>0</formula2>
    </dataValidation>
    <dataValidation allowBlank="true" errorStyle="stop" operator="equal" showDropDown="false" showErrorMessage="true" showInputMessage="true" sqref="M4:P4" type="list">
      <formula1>"Solar,Wind"</formula1>
      <formula2>0</formula2>
    </dataValidation>
    <dataValidation allowBlank="true" errorStyle="stop" operator="equal" showDropDown="false" showErrorMessage="true" showInputMessage="true" sqref="M10:P10 G95:I95" type="list">
      <formula1>"BAT,OMBRIERE,SOL"</formula1>
      <formula2>0</formula2>
    </dataValidation>
    <dataValidation allowBlank="true" errorStyle="stop" operator="equal" showDropDown="false" showErrorMessage="true" showInputMessage="true" sqref="M14 O14:P14 M53:P53 M91:P91 M95:P95 M182:P182" type="list">
      <formula1>"VRAI,FAUX"</formula1>
      <formula2>0</formula2>
    </dataValidation>
    <dataValidation allowBlank="true" errorStyle="stop" operator="equal" showDropDown="false" showErrorMessage="true" showInputMessage="true" sqref="M21:P22" type="list">
      <formula1>"1,0"</formula1>
      <formula2>0</formula2>
    </dataValidation>
    <dataValidation allowBlank="true" errorStyle="stop" operator="equal" showDropDown="false" showErrorMessage="true" showInputMessage="true" sqref="I56 M93:P93 H104 I106 I126 I132 I149 I155 I163 I169 I175 I197" type="list">
      <formula1>ass_Market!$N$9:$T$9</formula1>
      <formula2>0</formula2>
    </dataValidation>
    <dataValidation allowBlank="true" errorStyle="stop" operator="equal" showDropDown="false" showErrorMessage="true" showInputMessage="true" sqref="M70:P71" type="list">
      <formula1>#REF!</formula1>
      <formula2>0</formula2>
    </dataValidation>
    <dataValidation allowBlank="true" errorStyle="stop" operator="equal" showDropDown="false" showErrorMessage="true" showInputMessage="true" sqref="M101:P102 M104:P104" type="list">
      <formula1>ass_Market!$N$73:$X$73</formula1>
      <formula2>0</formula2>
    </dataValidation>
    <dataValidation allowBlank="true" errorStyle="stop" operator="equal" showDropDown="false" showErrorMessage="true" showInputMessage="true" sqref="I205:I216" type="list">
      <formula1>#REF!</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docProps/app.xml><?xml version="1.0" encoding="utf-8"?>
<Properties xmlns="http://schemas.openxmlformats.org/officeDocument/2006/extended-properties" xmlns:vt="http://schemas.openxmlformats.org/officeDocument/2006/docPropsVTypes">
  <Template/>
  <TotalTime>12318</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2023-09-06T07:31:17Z</dcterms:created>
  <dc:creator>arnaud bardy</dc:creator>
  <dc:description/>
  <dc:language>en-GB</dc:language>
  <cp:lastModifiedBy/>
  <cp:lastPrinted>2024-11-26T08:01:33Z</cp:lastPrinted>
  <dcterms:modified xsi:type="dcterms:W3CDTF">2026-04-10T20:07:54Z</dcterms:modified>
  <cp:revision>88</cp:revision>
  <dc:subject/>
  <dc:title/>
</cp:coreProperties>
</file>

<file path=docProps/custom.xml><?xml version="1.0" encoding="utf-8"?>
<Properties xmlns="http://schemas.openxmlformats.org/officeDocument/2006/custom-properties" xmlns:vt="http://schemas.openxmlformats.org/officeDocument/2006/docPropsVTypes"/>
</file>